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ogramme Summary" sheetId="2" state="visible" r:id="rId2"/>
    <sheet xmlns:r="http://schemas.openxmlformats.org/officeDocument/2006/relationships" name="Programme Timeline" sheetId="3" state="visible" r:id="rId3"/>
    <sheet xmlns:r="http://schemas.openxmlformats.org/officeDocument/2006/relationships" name="Milestones &amp; Payments" sheetId="4" state="visible" r:id="rId4"/>
    <sheet xmlns:r="http://schemas.openxmlformats.org/officeDocument/2006/relationships" name="Cash Flow" sheetId="5" state="visible" r:id="rId5"/>
    <sheet xmlns:r="http://schemas.openxmlformats.org/officeDocument/2006/relationships" name="Resource Plan" sheetId="6" state="visible" r:id="rId6"/>
    <sheet xmlns:r="http://schemas.openxmlformats.org/officeDocument/2006/relationships" name="Work Packages" sheetId="7" state="visible" r:id="rId7"/>
    <sheet xmlns:r="http://schemas.openxmlformats.org/officeDocument/2006/relationships" name="Options &amp; Exclusions" sheetId="8" state="visible" r:id="rId8"/>
    <sheet xmlns:r="http://schemas.openxmlformats.org/officeDocument/2006/relationships" name="Confidence" sheetId="9" state="visible" r:id="rId9"/>
    <sheet xmlns:r="http://schemas.openxmlformats.org/officeDocument/2006/relationships" name="Rate Card &amp; Commercials" sheetId="10" state="visible" r:id="rId10"/>
    <sheet xmlns:r="http://schemas.openxmlformats.org/officeDocument/2006/relationships" name="Charts" sheetId="11" state="visible" r:id="rId11"/>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1">
    <font>
      <name val="Calibri"/>
      <family val="2"/>
      <color theme="1"/>
      <sz val="11"/>
      <scheme val="minor"/>
    </font>
    <font>
      <name val="Calibri"/>
      <b val="1"/>
      <color rgb="001C1917"/>
      <sz val="15"/>
    </font>
    <font>
      <name val="Calibri"/>
      <i val="1"/>
      <color rgb="0078716C"/>
      <sz val="9"/>
    </font>
    <font>
      <name val="Calibri"/>
      <b val="1"/>
      <color rgb="00B45309"/>
      <sz val="10"/>
    </font>
    <font>
      <name val="Calibri"/>
      <b val="1"/>
      <color rgb="001C1917"/>
      <sz val="10"/>
    </font>
    <font>
      <name val="Calibri"/>
      <color rgb="001C1917"/>
      <sz val="10"/>
    </font>
    <font>
      <name val="Calibri"/>
      <b val="1"/>
      <color rgb="00FFFFFF"/>
      <sz val="9"/>
    </font>
    <font>
      <name val="Calibri"/>
      <b val="1"/>
      <i val="1"/>
      <color rgb="001C1917"/>
      <sz val="10"/>
    </font>
    <font>
      <name val="Calibri"/>
      <i val="1"/>
      <color rgb="001C1917"/>
      <sz val="10"/>
    </font>
    <font>
      <name val="Calibri"/>
      <b val="1"/>
      <color rgb="001C1917"/>
      <sz val="9"/>
    </font>
    <font>
      <name val="Calibri"/>
      <color rgb="0078716C"/>
      <sz val="9"/>
    </font>
    <font>
      <name val="Calibri"/>
      <b val="1"/>
      <color rgb="00FFFFFF"/>
      <sz val="7"/>
    </font>
    <font>
      <name val="Calibri"/>
      <b val="1"/>
      <color rgb="00FFFFFF"/>
      <sz val="10"/>
    </font>
    <font>
      <name val="Calibri"/>
      <color rgb="001C1917"/>
      <sz val="9"/>
    </font>
    <font>
      <name val="Calibri"/>
      <b val="1"/>
      <color rgb="00B45309"/>
      <sz val="11"/>
    </font>
    <font>
      <name val="Calibri"/>
      <b val="1"/>
      <color rgb="0078716C"/>
      <sz val="9"/>
    </font>
    <font>
      <name val="Calibri"/>
      <color rgb="009A3412"/>
      <sz val="10"/>
    </font>
    <font>
      <name val="Calibri"/>
      <b val="1"/>
      <color rgb="009A3412"/>
      <sz val="10"/>
    </font>
    <font>
      <name val="Calibri"/>
      <b val="1"/>
      <i val="1"/>
      <color rgb="0078716C"/>
      <sz val="9"/>
    </font>
    <font>
      <name val="Calibri"/>
      <color rgb="00B45309"/>
      <sz val="9"/>
    </font>
    <font>
      <name val="Calibri"/>
      <b val="1"/>
      <color rgb="00166534"/>
      <sz val="10"/>
    </font>
  </fonts>
  <fills count="13">
    <fill>
      <patternFill/>
    </fill>
    <fill>
      <patternFill patternType="gray125"/>
    </fill>
    <fill>
      <patternFill patternType="solid">
        <fgColor rgb="00FAFAF9"/>
      </patternFill>
    </fill>
    <fill>
      <patternFill patternType="solid">
        <fgColor rgb="00292524"/>
      </patternFill>
    </fill>
    <fill>
      <patternFill patternType="solid">
        <fgColor rgb="00B45309"/>
      </patternFill>
    </fill>
    <fill>
      <patternFill patternType="solid">
        <fgColor rgb="00D6D3D1"/>
      </patternFill>
    </fill>
    <fill>
      <patternFill patternType="solid">
        <fgColor rgb="008C7A5B"/>
      </patternFill>
    </fill>
    <fill>
      <patternFill patternType="solid">
        <fgColor rgb="009A6A4F"/>
      </patternFill>
    </fill>
    <fill>
      <patternFill patternType="solid">
        <fgColor rgb="004F6B7A"/>
      </patternFill>
    </fill>
    <fill>
      <patternFill patternType="solid">
        <fgColor rgb="006B6459"/>
      </patternFill>
    </fill>
    <fill>
      <patternFill patternType="solid">
        <fgColor rgb="005B6E4F"/>
      </patternFill>
    </fill>
    <fill>
      <patternFill patternType="solid">
        <fgColor rgb="007A5B6B"/>
      </patternFill>
    </fill>
    <fill>
      <patternFill patternType="solid">
        <fgColor rgb="004F5F7A"/>
      </patternFill>
    </fill>
  </fills>
  <borders count="3">
    <border>
      <left/>
      <right/>
      <top/>
      <bottom/>
      <diagonal/>
    </border>
    <border>
      <bottom style="thin">
        <color rgb="00E7E5E4"/>
      </bottom>
    </border>
    <border>
      <left/>
      <right/>
      <top/>
      <bottom style="thin">
        <color rgb="00E7E5E4"/>
      </bottom>
      <diagonal/>
    </border>
  </borders>
  <cellStyleXfs count="1">
    <xf numFmtId="0" fontId="0" fillId="0" borderId="0"/>
  </cellStyleXfs>
  <cellXfs count="8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0" fillId="2"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4" fillId="0" borderId="1" pivotButton="0" quotePrefix="0" xfId="0"/>
    <xf numFmtId="0" fontId="5" fillId="0" borderId="1" applyAlignment="1" pivotButton="0" quotePrefix="0" xfId="0">
      <alignment vertical="top" wrapText="1"/>
    </xf>
    <xf numFmtId="0" fontId="5" fillId="0" borderId="1" applyAlignment="1" pivotButton="0" quotePrefix="0" xfId="0">
      <alignment horizontal="center"/>
    </xf>
    <xf numFmtId="1" fontId="5" fillId="0" borderId="1" applyAlignment="1" pivotButton="0" quotePrefix="0" xfId="0">
      <alignment horizontal="center"/>
    </xf>
    <xf numFmtId="3" fontId="5" fillId="0" borderId="1" pivotButton="0" quotePrefix="0" xfId="0"/>
    <xf numFmtId="0" fontId="7" fillId="0" borderId="1" pivotButton="0" quotePrefix="0" xfId="0"/>
    <xf numFmtId="0" fontId="8" fillId="0" borderId="1" applyAlignment="1" pivotButton="0" quotePrefix="0" xfId="0">
      <alignment vertical="top" wrapText="1"/>
    </xf>
    <xf numFmtId="0" fontId="8" fillId="0" borderId="1" applyAlignment="1" pivotButton="0" quotePrefix="0" xfId="0">
      <alignment horizontal="center"/>
    </xf>
    <xf numFmtId="1" fontId="8" fillId="0" borderId="1" applyAlignment="1" pivotButton="0" quotePrefix="0" xfId="0">
      <alignment horizontal="center"/>
    </xf>
    <xf numFmtId="3" fontId="8" fillId="0" borderId="1" pivotButton="0" quotePrefix="0" xfId="0"/>
    <xf numFmtId="0" fontId="4" fillId="2" borderId="0" pivotButton="0" quotePrefix="0" xfId="0"/>
    <xf numFmtId="0" fontId="4" fillId="2" borderId="0" applyAlignment="1" pivotButton="0" quotePrefix="0" xfId="0">
      <alignment horizontal="center"/>
    </xf>
    <xf numFmtId="1" fontId="4" fillId="2" borderId="0" applyAlignment="1" pivotButton="0" quotePrefix="0" xfId="0">
      <alignment horizontal="center"/>
    </xf>
    <xf numFmtId="3" fontId="4" fillId="2" borderId="0" pivotButton="0" quotePrefix="0" xfId="0"/>
    <xf numFmtId="0" fontId="3" fillId="0" borderId="0" pivotButton="0" quotePrefix="0" xfId="0"/>
    <xf numFmtId="0" fontId="9" fillId="0" borderId="0" pivotButton="0" quotePrefix="0" xfId="0"/>
    <xf numFmtId="0" fontId="10" fillId="0" borderId="0" applyAlignment="1" pivotButton="0" quotePrefix="0" xfId="0">
      <alignment vertical="top" wrapText="1"/>
    </xf>
    <xf numFmtId="0" fontId="2" fillId="0" borderId="0" pivotButton="0" quotePrefix="0" xfId="0"/>
    <xf numFmtId="0" fontId="11"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12" fillId="3" borderId="0" pivotButton="0" quotePrefix="0" xfId="0"/>
    <xf numFmtId="0" fontId="0" fillId="3" borderId="0" pivotButton="0" quotePrefix="0" xfId="0"/>
    <xf numFmtId="0" fontId="9" fillId="0" borderId="1" pivotButton="0" quotePrefix="0" xfId="0"/>
    <xf numFmtId="0" fontId="13" fillId="0" borderId="1" pivotButton="0" quotePrefix="0" xfId="0"/>
    <xf numFmtId="164" fontId="13" fillId="0" borderId="1" applyAlignment="1" pivotButton="0" quotePrefix="0" xfId="0">
      <alignment horizontal="center"/>
    </xf>
    <xf numFmtId="0" fontId="13" fillId="0" borderId="1" applyAlignment="1" pivotButton="0" quotePrefix="0" xfId="0">
      <alignment horizontal="center"/>
    </xf>
    <xf numFmtId="0" fontId="0" fillId="6" borderId="1" pivotButton="0" quotePrefix="0" xfId="0"/>
    <xf numFmtId="0" fontId="0" fillId="0" borderId="1" pivotButton="0" quotePrefix="0" xfId="0"/>
    <xf numFmtId="0" fontId="0" fillId="5"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10" borderId="1" pivotButton="0" quotePrefix="0" xfId="0"/>
    <xf numFmtId="0" fontId="0" fillId="11" borderId="1" pivotButton="0" quotePrefix="0" xfId="0"/>
    <xf numFmtId="0" fontId="0" fillId="12" borderId="1" pivotButton="0" quotePrefix="0" xfId="0"/>
    <xf numFmtId="0" fontId="0" fillId="6" borderId="0" pivotButton="0" quotePrefix="0" xfId="0"/>
    <xf numFmtId="0" fontId="13" fillId="0" borderId="0" pivotButton="0" quotePrefix="0" xfId="0"/>
    <xf numFmtId="0" fontId="0" fillId="7" borderId="0" pivotButton="0" quotePrefix="0" xfId="0"/>
    <xf numFmtId="0" fontId="0" fillId="8"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9" borderId="0" pivotButton="0" quotePrefix="0" xfId="0"/>
    <xf numFmtId="0" fontId="0" fillId="5" borderId="0" pivotButton="0" quotePrefix="0" xfId="0"/>
    <xf numFmtId="0" fontId="5" fillId="0" borderId="1" pivotButton="0" quotePrefix="0" xfId="0"/>
    <xf numFmtId="9" fontId="5" fillId="0" borderId="1" applyAlignment="1" pivotButton="0" quotePrefix="0" xfId="0">
      <alignment horizontal="center"/>
    </xf>
    <xf numFmtId="0" fontId="14" fillId="0" borderId="0" pivotButton="0" quotePrefix="0" xfId="0"/>
    <xf numFmtId="0" fontId="15" fillId="0" borderId="0" pivotButton="0" quotePrefix="0" xfId="0"/>
    <xf numFmtId="0" fontId="13" fillId="0" borderId="0" applyAlignment="1" pivotButton="0" quotePrefix="0" xfId="0">
      <alignment vertical="top" wrapText="1"/>
    </xf>
    <xf numFmtId="164" fontId="5" fillId="0" borderId="1" pivotButton="0" quotePrefix="0" xfId="0"/>
    <xf numFmtId="3" fontId="16" fillId="0" borderId="1" pivotButton="0" quotePrefix="0" xfId="0"/>
    <xf numFmtId="164" fontId="8" fillId="0" borderId="1" pivotButton="0" quotePrefix="0" xfId="0"/>
    <xf numFmtId="3" fontId="4" fillId="0" borderId="0" pivotButton="0" quotePrefix="0" xfId="0"/>
    <xf numFmtId="3" fontId="17" fillId="0" borderId="0" pivotButton="0" quotePrefix="0" xfId="0"/>
    <xf numFmtId="165" fontId="17" fillId="0" borderId="0" pivotButton="0" quotePrefix="0" xfId="0"/>
    <xf numFmtId="3" fontId="13" fillId="0" borderId="1" pivotButton="0" quotePrefix="0" xfId="0"/>
    <xf numFmtId="164" fontId="13" fillId="0" borderId="1" pivotButton="0" quotePrefix="0" xfId="0"/>
    <xf numFmtId="164" fontId="4" fillId="2" borderId="0" pivotButton="0" quotePrefix="0" xfId="0"/>
    <xf numFmtId="2" fontId="4" fillId="2" borderId="0" pivotButton="0" quotePrefix="0" xfId="0"/>
    <xf numFmtId="2" fontId="4" fillId="0" borderId="0" pivotButton="0" quotePrefix="0" xfId="0"/>
    <xf numFmtId="0" fontId="2" fillId="0" borderId="1" pivotButton="0" quotePrefix="0" xfId="0"/>
    <xf numFmtId="0" fontId="18" fillId="0" borderId="1" pivotButton="0" quotePrefix="0" xfId="0"/>
    <xf numFmtId="0" fontId="2" fillId="0" borderId="1" applyAlignment="1" pivotButton="0" quotePrefix="0" xfId="0">
      <alignment horizontal="center"/>
    </xf>
    <xf numFmtId="164" fontId="2" fillId="0" borderId="1" applyAlignment="1" pivotButton="0" quotePrefix="0" xfId="0">
      <alignment horizontal="center"/>
    </xf>
    <xf numFmtId="0" fontId="13" fillId="0" borderId="1" applyAlignment="1" pivotButton="0" quotePrefix="0" xfId="0">
      <alignment vertical="top" wrapText="1"/>
    </xf>
    <xf numFmtId="0" fontId="6" fillId="3" borderId="0" pivotButton="0" quotePrefix="0" xfId="0"/>
    <xf numFmtId="0" fontId="19" fillId="0" borderId="0" applyAlignment="1" pivotButton="0" quotePrefix="0" xfId="0">
      <alignment vertical="top" wrapText="1"/>
    </xf>
    <xf numFmtId="0" fontId="4" fillId="0" borderId="1" applyAlignment="1" pivotButton="0" quotePrefix="0" xfId="0">
      <alignment horizontal="center"/>
    </xf>
    <xf numFmtId="1" fontId="4" fillId="0" borderId="1" applyAlignment="1" pivotButton="0" quotePrefix="0" xfId="0">
      <alignment horizontal="center"/>
    </xf>
    <xf numFmtId="0" fontId="0" fillId="0" borderId="2" pivotButton="0" quotePrefix="0" xfId="0"/>
    <xf numFmtId="165" fontId="0" fillId="0" borderId="0" applyAlignment="1" pivotButton="0" quotePrefix="0" xfId="0">
      <alignment horizontal="center"/>
    </xf>
    <xf numFmtId="0" fontId="10" fillId="0" borderId="1" applyAlignment="1" pivotButton="0" quotePrefix="0" xfId="0">
      <alignment vertical="top" wrapText="1"/>
    </xf>
    <xf numFmtId="164" fontId="4" fillId="2" borderId="0" applyAlignment="1" pivotButton="0" quotePrefix="0" xfId="0">
      <alignment horizontal="center"/>
    </xf>
    <xf numFmtId="2" fontId="4" fillId="0" borderId="1" applyAlignment="1" pivotButton="0" quotePrefix="0" xfId="0">
      <alignment horizontal="center"/>
    </xf>
    <xf numFmtId="3" fontId="4" fillId="0" borderId="1" applyAlignment="1" pivotButton="0" quotePrefix="0" xfId="0">
      <alignment horizontal="center"/>
    </xf>
    <xf numFmtId="2" fontId="20" fillId="0" borderId="1" applyAlignment="1" pivotButton="0" quotePrefix="0" xfId="0">
      <alignment horizontal="center"/>
    </xf>
    <xf numFmtId="2" fontId="5" fillId="0" borderId="1" applyAlignment="1" pivotButton="0" quotePrefix="0" xfId="0">
      <alignment horizontal="center"/>
    </xf>
    <xf numFmtId="3" fontId="5" fillId="0" borderId="1" applyAlignment="1" pivotButton="0" quotePrefix="0" xfId="0">
      <alignment horizontal="center"/>
    </xf>
    <xf numFmtId="165" fontId="13" fillId="0" borderId="1" applyAlignment="1" pivotButton="0" quotePrefix="0" xfId="0">
      <alignment horizontal="center"/>
    </xf>
    <xf numFmtId="0" fontId="15"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Programme Gantt by phase — 76 weeks</a:t>
            </a:r>
          </a:p>
        </rich>
      </tx>
    </title>
    <plotArea>
      <barChart>
        <barDir val="bar"/>
        <grouping val="stacked"/>
        <ser>
          <idx val="0"/>
          <order val="0"/>
          <tx>
            <strRef>
              <f>'Charts'!AE4</f>
            </strRef>
          </tx>
          <spPr>
            <a:noFill xmlns:a="http://schemas.openxmlformats.org/drawingml/2006/main"/>
            <a:ln xmlns:a="http://schemas.openxmlformats.org/drawingml/2006/main">
              <a:noFill/>
              <a:prstDash val="solid"/>
            </a:ln>
          </spPr>
          <cat>
            <numRef>
              <f>'Charts'!$AD$5:$AD$13</f>
            </numRef>
          </cat>
          <val>
            <numRef>
              <f>'Charts'!$AE$5:$AE$13</f>
            </numRef>
          </val>
        </ser>
        <ser>
          <idx val="1"/>
          <order val="1"/>
          <tx>
            <strRef>
              <f>'Charts'!AF4</f>
            </strRef>
          </tx>
          <spPr>
            <a:ln xmlns:a="http://schemas.openxmlformats.org/drawingml/2006/main">
              <a:prstDash val="solid"/>
            </a:ln>
          </spPr>
          <dPt>
            <idx val="0"/>
            <spPr>
              <a:solidFill xmlns:a="http://schemas.openxmlformats.org/drawingml/2006/main">
                <a:srgbClr val="8C7A5B"/>
              </a:solidFill>
              <a:ln xmlns:a="http://schemas.openxmlformats.org/drawingml/2006/main">
                <a:solidFill>
                  <a:srgbClr val="8C7A5B"/>
                </a:solidFill>
                <a:prstDash val="solid"/>
              </a:ln>
            </spPr>
          </dPt>
          <dPt>
            <idx val="1"/>
            <spPr>
              <a:solidFill xmlns:a="http://schemas.openxmlformats.org/drawingml/2006/main">
                <a:srgbClr val="9A6A4F"/>
              </a:solidFill>
              <a:ln xmlns:a="http://schemas.openxmlformats.org/drawingml/2006/main">
                <a:solidFill>
                  <a:srgbClr val="9A6A4F"/>
                </a:solidFill>
                <a:prstDash val="solid"/>
              </a:ln>
            </spPr>
          </dPt>
          <dPt>
            <idx val="2"/>
            <spPr>
              <a:solidFill xmlns:a="http://schemas.openxmlformats.org/drawingml/2006/main">
                <a:srgbClr val="4F6B7A"/>
              </a:solidFill>
              <a:ln xmlns:a="http://schemas.openxmlformats.org/drawingml/2006/main">
                <a:solidFill>
                  <a:srgbClr val="4F6B7A"/>
                </a:solidFill>
                <a:prstDash val="solid"/>
              </a:ln>
            </spPr>
          </dPt>
          <dPt>
            <idx val="3"/>
            <spPr>
              <a:solidFill xmlns:a="http://schemas.openxmlformats.org/drawingml/2006/main">
                <a:srgbClr val="6B6459"/>
              </a:solidFill>
              <a:ln xmlns:a="http://schemas.openxmlformats.org/drawingml/2006/main">
                <a:solidFill>
                  <a:srgbClr val="6B6459"/>
                </a:solidFill>
                <a:prstDash val="solid"/>
              </a:ln>
            </spPr>
          </dPt>
          <dPt>
            <idx val="4"/>
            <spPr>
              <a:solidFill xmlns:a="http://schemas.openxmlformats.org/drawingml/2006/main">
                <a:srgbClr val="D6D3D1"/>
              </a:solidFill>
              <a:ln xmlns:a="http://schemas.openxmlformats.org/drawingml/2006/main">
                <a:solidFill>
                  <a:srgbClr val="D6D3D1"/>
                </a:solidFill>
                <a:prstDash val="solid"/>
              </a:ln>
            </spPr>
          </dPt>
          <dPt>
            <idx val="5"/>
            <spPr>
              <a:solidFill xmlns:a="http://schemas.openxmlformats.org/drawingml/2006/main">
                <a:srgbClr val="5B6E4F"/>
              </a:solidFill>
              <a:ln xmlns:a="http://schemas.openxmlformats.org/drawingml/2006/main">
                <a:solidFill>
                  <a:srgbClr val="5B6E4F"/>
                </a:solidFill>
                <a:prstDash val="solid"/>
              </a:ln>
            </spPr>
          </dPt>
          <dPt>
            <idx val="6"/>
            <spPr>
              <a:solidFill xmlns:a="http://schemas.openxmlformats.org/drawingml/2006/main">
                <a:srgbClr val="7A5B6B"/>
              </a:solidFill>
              <a:ln xmlns:a="http://schemas.openxmlformats.org/drawingml/2006/main">
                <a:solidFill>
                  <a:srgbClr val="7A5B6B"/>
                </a:solidFill>
                <a:prstDash val="solid"/>
              </a:ln>
            </spPr>
          </dPt>
          <dPt>
            <idx val="7"/>
            <spPr>
              <a:solidFill xmlns:a="http://schemas.openxmlformats.org/drawingml/2006/main">
                <a:srgbClr val="4F5F7A"/>
              </a:solidFill>
              <a:ln xmlns:a="http://schemas.openxmlformats.org/drawingml/2006/main">
                <a:solidFill>
                  <a:srgbClr val="4F5F7A"/>
                </a:solidFill>
                <a:prstDash val="solid"/>
              </a:ln>
            </spPr>
          </dPt>
          <dPt>
            <idx val="8"/>
            <spPr>
              <a:solidFill xmlns:a="http://schemas.openxmlformats.org/drawingml/2006/main">
                <a:srgbClr val="6B6459"/>
              </a:solidFill>
              <a:ln xmlns:a="http://schemas.openxmlformats.org/drawingml/2006/main">
                <a:solidFill>
                  <a:srgbClr val="6B6459"/>
                </a:solidFill>
                <a:prstDash val="solid"/>
              </a:ln>
            </spPr>
          </dPt>
          <cat>
            <numRef>
              <f>'Charts'!$AD$5:$AD$13</f>
            </numRef>
          </cat>
          <val>
            <numRef>
              <f>'Charts'!$AF$5:$AF$13</f>
            </numRef>
          </val>
        </ser>
        <gapWidth val="150"/>
        <overlap val="100"/>
        <axId val="10"/>
        <axId val="100"/>
      </barChart>
      <catAx>
        <axId val="10"/>
        <scaling>
          <orientation val="maxMin"/>
        </scaling>
        <delete val="0"/>
        <axPos val="l"/>
        <majorTickMark val="none"/>
        <minorTickMark val="none"/>
        <crossAx val="100"/>
        <lblOffset val="100"/>
      </catAx>
      <valAx>
        <axId val="100"/>
        <scaling>
          <orientation val="minMax"/>
          <max val="76"/>
          <min val="0"/>
        </scaling>
        <delete val="0"/>
        <axPos val="l"/>
        <title>
          <tx>
            <rich>
              <a:bodyPr xmlns:a="http://schemas.openxmlformats.org/drawingml/2006/main"/>
              <a:p xmlns:a="http://schemas.openxmlformats.org/drawingml/2006/main">
                <a:pPr>
                  <a:defRPr/>
                </a:pPr>
                <a:r>
                  <a:t>Programme week</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Work package Gantt — 49 packages</a:t>
            </a:r>
          </a:p>
        </rich>
      </tx>
    </title>
    <plotArea>
      <barChart>
        <barDir val="bar"/>
        <grouping val="stacked"/>
        <ser>
          <idx val="0"/>
          <order val="0"/>
          <tx>
            <strRef>
              <f>'Charts'!AE15</f>
            </strRef>
          </tx>
          <spPr>
            <a:noFill xmlns:a="http://schemas.openxmlformats.org/drawingml/2006/main"/>
            <a:ln xmlns:a="http://schemas.openxmlformats.org/drawingml/2006/main">
              <a:noFill/>
              <a:prstDash val="solid"/>
            </a:ln>
          </spPr>
          <cat>
            <numRef>
              <f>'Charts'!$AD$16:$AD$64</f>
            </numRef>
          </cat>
          <val>
            <numRef>
              <f>'Charts'!$AE$16:$AE$64</f>
            </numRef>
          </val>
        </ser>
        <ser>
          <idx val="1"/>
          <order val="1"/>
          <tx>
            <strRef>
              <f>'Charts'!AF15</f>
            </strRef>
          </tx>
          <spPr>
            <a:ln xmlns:a="http://schemas.openxmlformats.org/drawingml/2006/main">
              <a:prstDash val="solid"/>
            </a:ln>
          </spPr>
          <dPt>
            <idx val="0"/>
            <spPr>
              <a:solidFill xmlns:a="http://schemas.openxmlformats.org/drawingml/2006/main">
                <a:srgbClr val="8C7A5B"/>
              </a:solidFill>
              <a:ln xmlns:a="http://schemas.openxmlformats.org/drawingml/2006/main">
                <a:solidFill>
                  <a:srgbClr val="8C7A5B"/>
                </a:solidFill>
                <a:prstDash val="solid"/>
              </a:ln>
            </spPr>
          </dPt>
          <dPt>
            <idx val="1"/>
            <spPr>
              <a:solidFill xmlns:a="http://schemas.openxmlformats.org/drawingml/2006/main">
                <a:srgbClr val="6B6459"/>
              </a:solidFill>
              <a:ln xmlns:a="http://schemas.openxmlformats.org/drawingml/2006/main">
                <a:solidFill>
                  <a:srgbClr val="6B6459"/>
                </a:solidFill>
                <a:prstDash val="solid"/>
              </a:ln>
            </spPr>
          </dPt>
          <dPt>
            <idx val="2"/>
            <spPr>
              <a:solidFill xmlns:a="http://schemas.openxmlformats.org/drawingml/2006/main">
                <a:srgbClr val="8C7A5B"/>
              </a:solidFill>
              <a:ln xmlns:a="http://schemas.openxmlformats.org/drawingml/2006/main">
                <a:solidFill>
                  <a:srgbClr val="8C7A5B"/>
                </a:solidFill>
                <a:prstDash val="solid"/>
              </a:ln>
            </spPr>
          </dPt>
          <dPt>
            <idx val="3"/>
            <spPr>
              <a:solidFill xmlns:a="http://schemas.openxmlformats.org/drawingml/2006/main">
                <a:srgbClr val="6B6459"/>
              </a:solidFill>
              <a:ln xmlns:a="http://schemas.openxmlformats.org/drawingml/2006/main">
                <a:solidFill>
                  <a:srgbClr val="6B6459"/>
                </a:solidFill>
                <a:prstDash val="solid"/>
              </a:ln>
            </spPr>
          </dPt>
          <dPt>
            <idx val="4"/>
            <spPr>
              <a:solidFill xmlns:a="http://schemas.openxmlformats.org/drawingml/2006/main">
                <a:srgbClr val="8C7A5B"/>
              </a:solidFill>
              <a:ln xmlns:a="http://schemas.openxmlformats.org/drawingml/2006/main">
                <a:solidFill>
                  <a:srgbClr val="8C7A5B"/>
                </a:solidFill>
                <a:prstDash val="solid"/>
              </a:ln>
            </spPr>
          </dPt>
          <dPt>
            <idx val="5"/>
            <spPr>
              <a:solidFill xmlns:a="http://schemas.openxmlformats.org/drawingml/2006/main">
                <a:srgbClr val="9A6A4F"/>
              </a:solidFill>
              <a:ln xmlns:a="http://schemas.openxmlformats.org/drawingml/2006/main">
                <a:solidFill>
                  <a:srgbClr val="9A6A4F"/>
                </a:solidFill>
                <a:prstDash val="solid"/>
              </a:ln>
            </spPr>
          </dPt>
          <dPt>
            <idx val="6"/>
            <spPr>
              <a:solidFill xmlns:a="http://schemas.openxmlformats.org/drawingml/2006/main">
                <a:srgbClr val="9A6A4F"/>
              </a:solidFill>
              <a:ln xmlns:a="http://schemas.openxmlformats.org/drawingml/2006/main">
                <a:solidFill>
                  <a:srgbClr val="9A6A4F"/>
                </a:solidFill>
                <a:prstDash val="solid"/>
              </a:ln>
            </spPr>
          </dPt>
          <dPt>
            <idx val="7"/>
            <spPr>
              <a:solidFill xmlns:a="http://schemas.openxmlformats.org/drawingml/2006/main">
                <a:srgbClr val="4F6B7A"/>
              </a:solidFill>
              <a:ln xmlns:a="http://schemas.openxmlformats.org/drawingml/2006/main">
                <a:solidFill>
                  <a:srgbClr val="4F6B7A"/>
                </a:solidFill>
                <a:prstDash val="solid"/>
              </a:ln>
            </spPr>
          </dPt>
          <dPt>
            <idx val="8"/>
            <spPr>
              <a:solidFill xmlns:a="http://schemas.openxmlformats.org/drawingml/2006/main">
                <a:srgbClr val="4F6B7A"/>
              </a:solidFill>
              <a:ln xmlns:a="http://schemas.openxmlformats.org/drawingml/2006/main">
                <a:solidFill>
                  <a:srgbClr val="4F6B7A"/>
                </a:solidFill>
                <a:prstDash val="solid"/>
              </a:ln>
            </spPr>
          </dPt>
          <dPt>
            <idx val="9"/>
            <spPr>
              <a:solidFill xmlns:a="http://schemas.openxmlformats.org/drawingml/2006/main">
                <a:srgbClr val="8C7A5B"/>
              </a:solidFill>
              <a:ln xmlns:a="http://schemas.openxmlformats.org/drawingml/2006/main">
                <a:solidFill>
                  <a:srgbClr val="8C7A5B"/>
                </a:solidFill>
                <a:prstDash val="solid"/>
              </a:ln>
            </spPr>
          </dPt>
          <dPt>
            <idx val="10"/>
            <spPr>
              <a:solidFill xmlns:a="http://schemas.openxmlformats.org/drawingml/2006/main">
                <a:srgbClr val="8C7A5B"/>
              </a:solidFill>
              <a:ln xmlns:a="http://schemas.openxmlformats.org/drawingml/2006/main">
                <a:solidFill>
                  <a:srgbClr val="8C7A5B"/>
                </a:solidFill>
                <a:prstDash val="solid"/>
              </a:ln>
            </spPr>
          </dPt>
          <dPt>
            <idx val="11"/>
            <spPr>
              <a:solidFill xmlns:a="http://schemas.openxmlformats.org/drawingml/2006/main">
                <a:srgbClr val="9A6A4F"/>
              </a:solidFill>
              <a:ln xmlns:a="http://schemas.openxmlformats.org/drawingml/2006/main">
                <a:solidFill>
                  <a:srgbClr val="9A6A4F"/>
                </a:solidFill>
                <a:prstDash val="solid"/>
              </a:ln>
            </spPr>
          </dPt>
          <dPt>
            <idx val="12"/>
            <spPr>
              <a:solidFill xmlns:a="http://schemas.openxmlformats.org/drawingml/2006/main">
                <a:srgbClr val="8C7A5B"/>
              </a:solidFill>
              <a:ln xmlns:a="http://schemas.openxmlformats.org/drawingml/2006/main">
                <a:solidFill>
                  <a:srgbClr val="8C7A5B"/>
                </a:solidFill>
                <a:prstDash val="solid"/>
              </a:ln>
            </spPr>
          </dPt>
          <dPt>
            <idx val="13"/>
            <spPr>
              <a:solidFill xmlns:a="http://schemas.openxmlformats.org/drawingml/2006/main">
                <a:srgbClr val="9A6A4F"/>
              </a:solidFill>
              <a:ln xmlns:a="http://schemas.openxmlformats.org/drawingml/2006/main">
                <a:solidFill>
                  <a:srgbClr val="9A6A4F"/>
                </a:solidFill>
                <a:prstDash val="solid"/>
              </a:ln>
            </spPr>
          </dPt>
          <dPt>
            <idx val="14"/>
            <spPr>
              <a:solidFill xmlns:a="http://schemas.openxmlformats.org/drawingml/2006/main">
                <a:srgbClr val="9A6A4F"/>
              </a:solidFill>
              <a:ln xmlns:a="http://schemas.openxmlformats.org/drawingml/2006/main">
                <a:solidFill>
                  <a:srgbClr val="9A6A4F"/>
                </a:solidFill>
                <a:prstDash val="solid"/>
              </a:ln>
            </spPr>
          </dPt>
          <dPt>
            <idx val="15"/>
            <spPr>
              <a:solidFill xmlns:a="http://schemas.openxmlformats.org/drawingml/2006/main">
                <a:srgbClr val="4F6B7A"/>
              </a:solidFill>
              <a:ln xmlns:a="http://schemas.openxmlformats.org/drawingml/2006/main">
                <a:solidFill>
                  <a:srgbClr val="4F6B7A"/>
                </a:solidFill>
                <a:prstDash val="solid"/>
              </a:ln>
            </spPr>
          </dPt>
          <dPt>
            <idx val="16"/>
            <spPr>
              <a:solidFill xmlns:a="http://schemas.openxmlformats.org/drawingml/2006/main">
                <a:srgbClr val="8C7A5B"/>
              </a:solidFill>
              <a:ln xmlns:a="http://schemas.openxmlformats.org/drawingml/2006/main">
                <a:solidFill>
                  <a:srgbClr val="8C7A5B"/>
                </a:solidFill>
                <a:prstDash val="solid"/>
              </a:ln>
            </spPr>
          </dPt>
          <dPt>
            <idx val="17"/>
            <spPr>
              <a:solidFill xmlns:a="http://schemas.openxmlformats.org/drawingml/2006/main">
                <a:srgbClr val="9A6A4F"/>
              </a:solidFill>
              <a:ln xmlns:a="http://schemas.openxmlformats.org/drawingml/2006/main">
                <a:solidFill>
                  <a:srgbClr val="9A6A4F"/>
                </a:solidFill>
                <a:prstDash val="solid"/>
              </a:ln>
            </spPr>
          </dPt>
          <dPt>
            <idx val="18"/>
            <spPr>
              <a:solidFill xmlns:a="http://schemas.openxmlformats.org/drawingml/2006/main">
                <a:srgbClr val="4F6B7A"/>
              </a:solidFill>
              <a:ln xmlns:a="http://schemas.openxmlformats.org/drawingml/2006/main">
                <a:solidFill>
                  <a:srgbClr val="4F6B7A"/>
                </a:solidFill>
                <a:prstDash val="solid"/>
              </a:ln>
            </spPr>
          </dPt>
          <dPt>
            <idx val="19"/>
            <spPr>
              <a:solidFill xmlns:a="http://schemas.openxmlformats.org/drawingml/2006/main">
                <a:srgbClr val="4F6B7A"/>
              </a:solidFill>
              <a:ln xmlns:a="http://schemas.openxmlformats.org/drawingml/2006/main">
                <a:solidFill>
                  <a:srgbClr val="4F6B7A"/>
                </a:solidFill>
                <a:prstDash val="solid"/>
              </a:ln>
            </spPr>
          </dPt>
          <dPt>
            <idx val="20"/>
            <spPr>
              <a:solidFill xmlns:a="http://schemas.openxmlformats.org/drawingml/2006/main">
                <a:srgbClr val="4F6B7A"/>
              </a:solidFill>
              <a:ln xmlns:a="http://schemas.openxmlformats.org/drawingml/2006/main">
                <a:solidFill>
                  <a:srgbClr val="4F6B7A"/>
                </a:solidFill>
                <a:prstDash val="solid"/>
              </a:ln>
            </spPr>
          </dPt>
          <dPt>
            <idx val="21"/>
            <spPr>
              <a:solidFill xmlns:a="http://schemas.openxmlformats.org/drawingml/2006/main">
                <a:srgbClr val="4F6B7A"/>
              </a:solidFill>
              <a:ln xmlns:a="http://schemas.openxmlformats.org/drawingml/2006/main">
                <a:solidFill>
                  <a:srgbClr val="4F6B7A"/>
                </a:solidFill>
                <a:prstDash val="solid"/>
              </a:ln>
            </spPr>
          </dPt>
          <dPt>
            <idx val="22"/>
            <spPr>
              <a:solidFill xmlns:a="http://schemas.openxmlformats.org/drawingml/2006/main">
                <a:srgbClr val="4F6B7A"/>
              </a:solidFill>
              <a:ln xmlns:a="http://schemas.openxmlformats.org/drawingml/2006/main">
                <a:solidFill>
                  <a:srgbClr val="4F6B7A"/>
                </a:solidFill>
                <a:prstDash val="solid"/>
              </a:ln>
            </spPr>
          </dPt>
          <dPt>
            <idx val="23"/>
            <spPr>
              <a:solidFill xmlns:a="http://schemas.openxmlformats.org/drawingml/2006/main">
                <a:srgbClr val="4F6B7A"/>
              </a:solidFill>
              <a:ln xmlns:a="http://schemas.openxmlformats.org/drawingml/2006/main">
                <a:solidFill>
                  <a:srgbClr val="4F6B7A"/>
                </a:solidFill>
                <a:prstDash val="solid"/>
              </a:ln>
            </spPr>
          </dPt>
          <dPt>
            <idx val="24"/>
            <spPr>
              <a:solidFill xmlns:a="http://schemas.openxmlformats.org/drawingml/2006/main">
                <a:srgbClr val="6B6459"/>
              </a:solidFill>
              <a:ln xmlns:a="http://schemas.openxmlformats.org/drawingml/2006/main">
                <a:solidFill>
                  <a:srgbClr val="6B6459"/>
                </a:solidFill>
                <a:prstDash val="solid"/>
              </a:ln>
            </spPr>
          </dPt>
          <dPt>
            <idx val="25"/>
            <spPr>
              <a:solidFill xmlns:a="http://schemas.openxmlformats.org/drawingml/2006/main">
                <a:srgbClr val="5B6E4F"/>
              </a:solidFill>
              <a:ln xmlns:a="http://schemas.openxmlformats.org/drawingml/2006/main">
                <a:solidFill>
                  <a:srgbClr val="5B6E4F"/>
                </a:solidFill>
                <a:prstDash val="solid"/>
              </a:ln>
            </spPr>
          </dPt>
          <dPt>
            <idx val="26"/>
            <spPr>
              <a:solidFill xmlns:a="http://schemas.openxmlformats.org/drawingml/2006/main">
                <a:srgbClr val="6B6459"/>
              </a:solidFill>
              <a:ln xmlns:a="http://schemas.openxmlformats.org/drawingml/2006/main">
                <a:solidFill>
                  <a:srgbClr val="6B6459"/>
                </a:solidFill>
                <a:prstDash val="solid"/>
              </a:ln>
            </spPr>
          </dPt>
          <dPt>
            <idx val="27"/>
            <spPr>
              <a:solidFill xmlns:a="http://schemas.openxmlformats.org/drawingml/2006/main">
                <a:srgbClr val="6B6459"/>
              </a:solidFill>
              <a:ln xmlns:a="http://schemas.openxmlformats.org/drawingml/2006/main">
                <a:solidFill>
                  <a:srgbClr val="6B6459"/>
                </a:solidFill>
                <a:prstDash val="solid"/>
              </a:ln>
            </spPr>
          </dPt>
          <dPt>
            <idx val="28"/>
            <spPr>
              <a:solidFill xmlns:a="http://schemas.openxmlformats.org/drawingml/2006/main">
                <a:srgbClr val="5B6E4F"/>
              </a:solidFill>
              <a:ln xmlns:a="http://schemas.openxmlformats.org/drawingml/2006/main">
                <a:solidFill>
                  <a:srgbClr val="5B6E4F"/>
                </a:solidFill>
                <a:prstDash val="solid"/>
              </a:ln>
            </spPr>
          </dPt>
          <dPt>
            <idx val="29"/>
            <spPr>
              <a:solidFill xmlns:a="http://schemas.openxmlformats.org/drawingml/2006/main">
                <a:srgbClr val="5B6E4F"/>
              </a:solidFill>
              <a:ln xmlns:a="http://schemas.openxmlformats.org/drawingml/2006/main">
                <a:solidFill>
                  <a:srgbClr val="5B6E4F"/>
                </a:solidFill>
                <a:prstDash val="solid"/>
              </a:ln>
            </spPr>
          </dPt>
          <dPt>
            <idx val="30"/>
            <spPr>
              <a:solidFill xmlns:a="http://schemas.openxmlformats.org/drawingml/2006/main">
                <a:srgbClr val="5B6E4F"/>
              </a:solidFill>
              <a:ln xmlns:a="http://schemas.openxmlformats.org/drawingml/2006/main">
                <a:solidFill>
                  <a:srgbClr val="5B6E4F"/>
                </a:solidFill>
                <a:prstDash val="solid"/>
              </a:ln>
            </spPr>
          </dPt>
          <dPt>
            <idx val="31"/>
            <spPr>
              <a:solidFill xmlns:a="http://schemas.openxmlformats.org/drawingml/2006/main">
                <a:srgbClr val="5B6E4F"/>
              </a:solidFill>
              <a:ln xmlns:a="http://schemas.openxmlformats.org/drawingml/2006/main">
                <a:solidFill>
                  <a:srgbClr val="5B6E4F"/>
                </a:solidFill>
                <a:prstDash val="solid"/>
              </a:ln>
            </spPr>
          </dPt>
          <dPt>
            <idx val="32"/>
            <spPr>
              <a:solidFill xmlns:a="http://schemas.openxmlformats.org/drawingml/2006/main">
                <a:srgbClr val="5B6E4F"/>
              </a:solidFill>
              <a:ln xmlns:a="http://schemas.openxmlformats.org/drawingml/2006/main">
                <a:solidFill>
                  <a:srgbClr val="5B6E4F"/>
                </a:solidFill>
                <a:prstDash val="solid"/>
              </a:ln>
            </spPr>
          </dPt>
          <dPt>
            <idx val="33"/>
            <spPr>
              <a:solidFill xmlns:a="http://schemas.openxmlformats.org/drawingml/2006/main">
                <a:srgbClr val="5B6E4F"/>
              </a:solidFill>
              <a:ln xmlns:a="http://schemas.openxmlformats.org/drawingml/2006/main">
                <a:solidFill>
                  <a:srgbClr val="5B6E4F"/>
                </a:solidFill>
                <a:prstDash val="solid"/>
              </a:ln>
            </spPr>
          </dPt>
          <dPt>
            <idx val="34"/>
            <spPr>
              <a:solidFill xmlns:a="http://schemas.openxmlformats.org/drawingml/2006/main">
                <a:srgbClr val="5B6E4F"/>
              </a:solidFill>
              <a:ln xmlns:a="http://schemas.openxmlformats.org/drawingml/2006/main">
                <a:solidFill>
                  <a:srgbClr val="5B6E4F"/>
                </a:solidFill>
                <a:prstDash val="solid"/>
              </a:ln>
            </spPr>
          </dPt>
          <dPt>
            <idx val="35"/>
            <spPr>
              <a:solidFill xmlns:a="http://schemas.openxmlformats.org/drawingml/2006/main">
                <a:srgbClr val="5B6E4F"/>
              </a:solidFill>
              <a:ln xmlns:a="http://schemas.openxmlformats.org/drawingml/2006/main">
                <a:solidFill>
                  <a:srgbClr val="5B6E4F"/>
                </a:solidFill>
                <a:prstDash val="solid"/>
              </a:ln>
            </spPr>
          </dPt>
          <dPt>
            <idx val="36"/>
            <spPr>
              <a:solidFill xmlns:a="http://schemas.openxmlformats.org/drawingml/2006/main">
                <a:srgbClr val="5B6E4F"/>
              </a:solidFill>
              <a:ln xmlns:a="http://schemas.openxmlformats.org/drawingml/2006/main">
                <a:solidFill>
                  <a:srgbClr val="5B6E4F"/>
                </a:solidFill>
                <a:prstDash val="solid"/>
              </a:ln>
            </spPr>
          </dPt>
          <dPt>
            <idx val="37"/>
            <spPr>
              <a:solidFill xmlns:a="http://schemas.openxmlformats.org/drawingml/2006/main">
                <a:srgbClr val="5B6E4F"/>
              </a:solidFill>
              <a:ln xmlns:a="http://schemas.openxmlformats.org/drawingml/2006/main">
                <a:solidFill>
                  <a:srgbClr val="5B6E4F"/>
                </a:solidFill>
                <a:prstDash val="solid"/>
              </a:ln>
            </spPr>
          </dPt>
          <dPt>
            <idx val="38"/>
            <spPr>
              <a:solidFill xmlns:a="http://schemas.openxmlformats.org/drawingml/2006/main">
                <a:srgbClr val="7A5B6B"/>
              </a:solidFill>
              <a:ln xmlns:a="http://schemas.openxmlformats.org/drawingml/2006/main">
                <a:solidFill>
                  <a:srgbClr val="7A5B6B"/>
                </a:solidFill>
                <a:prstDash val="solid"/>
              </a:ln>
            </spPr>
          </dPt>
          <dPt>
            <idx val="39"/>
            <spPr>
              <a:solidFill xmlns:a="http://schemas.openxmlformats.org/drawingml/2006/main">
                <a:srgbClr val="7A5B6B"/>
              </a:solidFill>
              <a:ln xmlns:a="http://schemas.openxmlformats.org/drawingml/2006/main">
                <a:solidFill>
                  <a:srgbClr val="7A5B6B"/>
                </a:solidFill>
                <a:prstDash val="solid"/>
              </a:ln>
            </spPr>
          </dPt>
          <dPt>
            <idx val="40"/>
            <spPr>
              <a:solidFill xmlns:a="http://schemas.openxmlformats.org/drawingml/2006/main">
                <a:srgbClr val="7A5B6B"/>
              </a:solidFill>
              <a:ln xmlns:a="http://schemas.openxmlformats.org/drawingml/2006/main">
                <a:solidFill>
                  <a:srgbClr val="7A5B6B"/>
                </a:solidFill>
                <a:prstDash val="solid"/>
              </a:ln>
            </spPr>
          </dPt>
          <dPt>
            <idx val="41"/>
            <spPr>
              <a:solidFill xmlns:a="http://schemas.openxmlformats.org/drawingml/2006/main">
                <a:srgbClr val="4F5F7A"/>
              </a:solidFill>
              <a:ln xmlns:a="http://schemas.openxmlformats.org/drawingml/2006/main">
                <a:solidFill>
                  <a:srgbClr val="4F5F7A"/>
                </a:solidFill>
                <a:prstDash val="solid"/>
              </a:ln>
            </spPr>
          </dPt>
          <dPt>
            <idx val="42"/>
            <spPr>
              <a:solidFill xmlns:a="http://schemas.openxmlformats.org/drawingml/2006/main">
                <a:srgbClr val="7A5B6B"/>
              </a:solidFill>
              <a:ln xmlns:a="http://schemas.openxmlformats.org/drawingml/2006/main">
                <a:solidFill>
                  <a:srgbClr val="7A5B6B"/>
                </a:solidFill>
                <a:prstDash val="solid"/>
              </a:ln>
            </spPr>
          </dPt>
          <dPt>
            <idx val="43"/>
            <spPr>
              <a:solidFill xmlns:a="http://schemas.openxmlformats.org/drawingml/2006/main">
                <a:srgbClr val="7A5B6B"/>
              </a:solidFill>
              <a:ln xmlns:a="http://schemas.openxmlformats.org/drawingml/2006/main">
                <a:solidFill>
                  <a:srgbClr val="7A5B6B"/>
                </a:solidFill>
                <a:prstDash val="solid"/>
              </a:ln>
            </spPr>
          </dPt>
          <dPt>
            <idx val="44"/>
            <spPr>
              <a:solidFill xmlns:a="http://schemas.openxmlformats.org/drawingml/2006/main">
                <a:srgbClr val="6B6459"/>
              </a:solidFill>
              <a:ln xmlns:a="http://schemas.openxmlformats.org/drawingml/2006/main">
                <a:solidFill>
                  <a:srgbClr val="6B6459"/>
                </a:solidFill>
                <a:prstDash val="solid"/>
              </a:ln>
            </spPr>
          </dPt>
          <dPt>
            <idx val="45"/>
            <spPr>
              <a:solidFill xmlns:a="http://schemas.openxmlformats.org/drawingml/2006/main">
                <a:srgbClr val="4F5F7A"/>
              </a:solidFill>
              <a:ln xmlns:a="http://schemas.openxmlformats.org/drawingml/2006/main">
                <a:solidFill>
                  <a:srgbClr val="4F5F7A"/>
                </a:solidFill>
                <a:prstDash val="solid"/>
              </a:ln>
            </spPr>
          </dPt>
          <dPt>
            <idx val="46"/>
            <spPr>
              <a:solidFill xmlns:a="http://schemas.openxmlformats.org/drawingml/2006/main">
                <a:srgbClr val="4F5F7A"/>
              </a:solidFill>
              <a:ln xmlns:a="http://schemas.openxmlformats.org/drawingml/2006/main">
                <a:solidFill>
                  <a:srgbClr val="4F5F7A"/>
                </a:solidFill>
                <a:prstDash val="solid"/>
              </a:ln>
            </spPr>
          </dPt>
          <dPt>
            <idx val="47"/>
            <spPr>
              <a:solidFill xmlns:a="http://schemas.openxmlformats.org/drawingml/2006/main">
                <a:srgbClr val="4F5F7A"/>
              </a:solidFill>
              <a:ln xmlns:a="http://schemas.openxmlformats.org/drawingml/2006/main">
                <a:solidFill>
                  <a:srgbClr val="4F5F7A"/>
                </a:solidFill>
                <a:prstDash val="solid"/>
              </a:ln>
            </spPr>
          </dPt>
          <dPt>
            <idx val="48"/>
            <spPr>
              <a:solidFill xmlns:a="http://schemas.openxmlformats.org/drawingml/2006/main">
                <a:srgbClr val="4F5F7A"/>
              </a:solidFill>
              <a:ln xmlns:a="http://schemas.openxmlformats.org/drawingml/2006/main">
                <a:solidFill>
                  <a:srgbClr val="4F5F7A"/>
                </a:solidFill>
                <a:prstDash val="solid"/>
              </a:ln>
            </spPr>
          </dPt>
          <cat>
            <numRef>
              <f>'Charts'!$AD$16:$AD$64</f>
            </numRef>
          </cat>
          <val>
            <numRef>
              <f>'Charts'!$AF$16:$AF$64</f>
            </numRef>
          </val>
        </ser>
        <gapWidth val="150"/>
        <overlap val="100"/>
        <axId val="10"/>
        <axId val="100"/>
      </barChart>
      <catAx>
        <axId val="10"/>
        <scaling>
          <orientation val="maxMin"/>
        </scaling>
        <delete val="0"/>
        <axPos val="l"/>
        <majorTickMark val="none"/>
        <minorTickMark val="none"/>
        <crossAx val="100"/>
        <lblOffset val="100"/>
      </catAx>
      <valAx>
        <axId val="100"/>
        <scaling>
          <orientation val="minMax"/>
          <max val="76"/>
          <min val="0"/>
        </scaling>
        <delete val="0"/>
        <axPos val="l"/>
        <title>
          <tx>
            <rich>
              <a:bodyPr xmlns:a="http://schemas.openxmlformats.org/drawingml/2006/main"/>
              <a:p xmlns:a="http://schemas.openxmlformats.org/drawingml/2006/main">
                <a:pPr>
                  <a:defRPr/>
                </a:pPr>
                <a:r>
                  <a:t>Programme week</a:t>
                </a:r>
              </a:p>
            </rich>
          </tx>
        </title>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Resource loading — person-days by role, 19 four-week periods (divide by 20 for FTE)</a:t>
            </a:r>
          </a:p>
        </rich>
      </tx>
    </title>
    <plotArea>
      <barChart>
        <barDir val="col"/>
        <grouping val="stacked"/>
        <ser>
          <idx val="0"/>
          <order val="0"/>
          <tx>
            <strRef>
              <f>'Charts'!AD71</f>
            </strRef>
          </tx>
          <spPr>
            <a:solidFill xmlns:a="http://schemas.openxmlformats.org/drawingml/2006/main">
              <a:srgbClr val="4F6B7A"/>
            </a:solidFill>
            <a:ln xmlns:a="http://schemas.openxmlformats.org/drawingml/2006/main">
              <a:solidFill>
                <a:srgbClr val="FFFFFF"/>
              </a:solidFill>
              <a:prstDash val="solid"/>
            </a:ln>
          </spPr>
          <cat>
            <numRef>
              <f>'Charts'!$AE$70:$AW$70</f>
            </numRef>
          </cat>
          <val>
            <numRef>
              <f>'Charts'!$AE$71:$AW$71</f>
            </numRef>
          </val>
        </ser>
        <ser>
          <idx val="1"/>
          <order val="1"/>
          <tx>
            <strRef>
              <f>'Charts'!AD72</f>
            </strRef>
          </tx>
          <spPr>
            <a:solidFill xmlns:a="http://schemas.openxmlformats.org/drawingml/2006/main">
              <a:srgbClr val="8C7A5B"/>
            </a:solidFill>
            <a:ln xmlns:a="http://schemas.openxmlformats.org/drawingml/2006/main">
              <a:solidFill>
                <a:srgbClr val="FFFFFF"/>
              </a:solidFill>
              <a:prstDash val="solid"/>
            </a:ln>
          </spPr>
          <cat>
            <numRef>
              <f>'Charts'!$AE$70:$AW$70</f>
            </numRef>
          </cat>
          <val>
            <numRef>
              <f>'Charts'!$AE$72:$AW$72</f>
            </numRef>
          </val>
        </ser>
        <ser>
          <idx val="2"/>
          <order val="2"/>
          <tx>
            <strRef>
              <f>'Charts'!AD73</f>
            </strRef>
          </tx>
          <spPr>
            <a:solidFill xmlns:a="http://schemas.openxmlformats.org/drawingml/2006/main">
              <a:srgbClr val="9A6A4F"/>
            </a:solidFill>
            <a:ln xmlns:a="http://schemas.openxmlformats.org/drawingml/2006/main">
              <a:solidFill>
                <a:srgbClr val="FFFFFF"/>
              </a:solidFill>
              <a:prstDash val="solid"/>
            </a:ln>
          </spPr>
          <cat>
            <numRef>
              <f>'Charts'!$AE$70:$AW$70</f>
            </numRef>
          </cat>
          <val>
            <numRef>
              <f>'Charts'!$AE$73:$AW$73</f>
            </numRef>
          </val>
        </ser>
        <ser>
          <idx val="3"/>
          <order val="3"/>
          <tx>
            <strRef>
              <f>'Charts'!AD74</f>
            </strRef>
          </tx>
          <spPr>
            <a:solidFill xmlns:a="http://schemas.openxmlformats.org/drawingml/2006/main">
              <a:srgbClr val="5B6E4F"/>
            </a:solidFill>
            <a:ln xmlns:a="http://schemas.openxmlformats.org/drawingml/2006/main">
              <a:solidFill>
                <a:srgbClr val="FFFFFF"/>
              </a:solidFill>
              <a:prstDash val="solid"/>
            </a:ln>
          </spPr>
          <cat>
            <numRef>
              <f>'Charts'!$AE$70:$AW$70</f>
            </numRef>
          </cat>
          <val>
            <numRef>
              <f>'Charts'!$AE$74:$AW$74</f>
            </numRef>
          </val>
        </ser>
        <ser>
          <idx val="4"/>
          <order val="4"/>
          <tx>
            <strRef>
              <f>'Charts'!AD75</f>
            </strRef>
          </tx>
          <spPr>
            <a:solidFill xmlns:a="http://schemas.openxmlformats.org/drawingml/2006/main">
              <a:srgbClr val="7A5B6B"/>
            </a:solidFill>
            <a:ln xmlns:a="http://schemas.openxmlformats.org/drawingml/2006/main">
              <a:solidFill>
                <a:srgbClr val="FFFFFF"/>
              </a:solidFill>
              <a:prstDash val="solid"/>
            </a:ln>
          </spPr>
          <cat>
            <numRef>
              <f>'Charts'!$AE$70:$AW$70</f>
            </numRef>
          </cat>
          <val>
            <numRef>
              <f>'Charts'!$AE$75:$AW$75</f>
            </numRef>
          </val>
        </ser>
        <ser>
          <idx val="5"/>
          <order val="5"/>
          <tx>
            <strRef>
              <f>'Charts'!AD76</f>
            </strRef>
          </tx>
          <spPr>
            <a:solidFill xmlns:a="http://schemas.openxmlformats.org/drawingml/2006/main">
              <a:srgbClr val="6B6459"/>
            </a:solidFill>
            <a:ln xmlns:a="http://schemas.openxmlformats.org/drawingml/2006/main">
              <a:solidFill>
                <a:srgbClr val="FFFFFF"/>
              </a:solidFill>
              <a:prstDash val="solid"/>
            </a:ln>
          </spPr>
          <cat>
            <numRef>
              <f>'Charts'!$AE$70:$AW$70</f>
            </numRef>
          </cat>
          <val>
            <numRef>
              <f>'Charts'!$AE$76:$AW$76</f>
            </numRef>
          </val>
        </ser>
        <ser>
          <idx val="6"/>
          <order val="6"/>
          <tx>
            <strRef>
              <f>'Charts'!AD77</f>
            </strRef>
          </tx>
          <spPr>
            <a:solidFill xmlns:a="http://schemas.openxmlformats.org/drawingml/2006/main">
              <a:srgbClr val="4F5F7A"/>
            </a:solidFill>
            <a:ln xmlns:a="http://schemas.openxmlformats.org/drawingml/2006/main">
              <a:solidFill>
                <a:srgbClr val="FFFFFF"/>
              </a:solidFill>
              <a:prstDash val="solid"/>
            </a:ln>
          </spPr>
          <cat>
            <numRef>
              <f>'Charts'!$AE$70:$AW$70</f>
            </numRef>
          </cat>
          <val>
            <numRef>
              <f>'Charts'!$AE$77:$AW$77</f>
            </numRef>
          </val>
        </ser>
        <ser>
          <idx val="7"/>
          <order val="7"/>
          <tx>
            <strRef>
              <f>'Charts'!AD78</f>
            </strRef>
          </tx>
          <spPr>
            <a:solidFill xmlns:a="http://schemas.openxmlformats.org/drawingml/2006/main">
              <a:srgbClr val="A88B4A"/>
            </a:solidFill>
            <a:ln xmlns:a="http://schemas.openxmlformats.org/drawingml/2006/main">
              <a:solidFill>
                <a:srgbClr val="FFFFFF"/>
              </a:solidFill>
              <a:prstDash val="solid"/>
            </a:ln>
          </spPr>
          <cat>
            <numRef>
              <f>'Charts'!$AE$70:$AW$70</f>
            </numRef>
          </cat>
          <val>
            <numRef>
              <f>'Charts'!$AE$78:$AW$78</f>
            </numRef>
          </val>
        </ser>
        <gapWidth val="150"/>
        <overlap val="100"/>
        <axId val="10"/>
        <axId val="100"/>
      </barChart>
      <catAx>
        <axId val="10"/>
        <scaling>
          <orientation val="minMax"/>
        </scaling>
        <delete val="0"/>
        <axPos val="l"/>
        <title>
          <tx>
            <rich>
              <a:bodyPr xmlns:a="http://schemas.openxmlformats.org/drawingml/2006/main"/>
              <a:p xmlns:a="http://schemas.openxmlformats.org/drawingml/2006/main">
                <a:pPr>
                  <a:defRPr/>
                </a:pPr>
                <a:r>
                  <a:t>Four-week period</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Person-days in period</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Team size — full-time equivalents by period</a:t>
            </a:r>
          </a:p>
        </rich>
      </tx>
    </title>
    <plotArea>
      <lineChart>
        <grouping val="standard"/>
        <ser>
          <idx val="0"/>
          <order val="0"/>
          <tx>
            <strRef>
              <f>'Charts'!AD79</f>
            </strRef>
          </tx>
          <spPr>
            <a:ln xmlns:a="http://schemas.openxmlformats.org/drawingml/2006/main" w="28000">
              <a:solidFill>
                <a:srgbClr val="B45309"/>
              </a:solidFill>
              <a:prstDash val="solid"/>
            </a:ln>
          </spPr>
          <marker>
            <symbol val="none"/>
            <spPr>
              <a:ln xmlns:a="http://schemas.openxmlformats.org/drawingml/2006/main">
                <a:prstDash val="solid"/>
              </a:ln>
            </spPr>
          </marker>
          <cat>
            <numRef>
              <f>'Charts'!$AE$70:$AW$70</f>
            </numRef>
          </cat>
          <val>
            <numRef>
              <f>'Charts'!$AE$79:$AW$79</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Four-week period</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FTE</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4</row>
      <rowOff>0</rowOff>
    </from>
    <ext cx="108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27</row>
      <rowOff>0</rowOff>
    </from>
    <ext cx="10800000" cy="12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97</row>
      <rowOff>0</rowOff>
    </from>
    <ext cx="1080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123</row>
      <rowOff>0</rowOff>
    </from>
    <ext cx="1080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32" customWidth="1" min="1" max="1"/>
    <col width="104" customWidth="1" min="2" max="2"/>
  </cols>
  <sheetData>
    <row r="1" ht="22" customHeight="1">
      <c r="A1" s="1" t="inlineStr">
        <is>
          <t>IPC website migration — programme estimate</t>
        </is>
      </c>
    </row>
    <row r="2" ht="28" customHeight="1">
      <c r="A2" s="2" t="inlineStr">
        <is>
          <t>ipc.gov.in onto the Gov.In CMS Platform and DBIM. Basis date 2026-09-01. Generated from the effort model by Estimation/model/build_programme.py — regenerate rather than edit cells, or this workbook and the model will drift apart.</t>
        </is>
      </c>
    </row>
    <row r="4" ht="15" customHeight="1">
      <c r="A4" s="3" t="inlineStr">
        <is>
          <t>THE ANSWER</t>
        </is>
      </c>
      <c r="B4" s="4" t="inlineStr"/>
    </row>
    <row r="5" ht="30" customHeight="1">
      <c r="A5" s="5" t="inlineStr">
        <is>
          <t>Stage 1 — the recommendation</t>
        </is>
      </c>
      <c r="B5" s="6" t="inlineStr">
        <is>
          <t>Remediate the live site and produce the signed inventory and redirect map. 179 PD at P80 over 24 weeks. INR 2,388,290 ex-GST. This is what a 20-30 lakh budget buys.</t>
        </is>
      </c>
    </row>
    <row r="6" ht="30" customHeight="1">
      <c r="A6" s="5" t="inlineStr">
        <is>
          <t>Stage 2 — indicative only</t>
        </is>
      </c>
      <c r="B6" s="6" t="inlineStr">
        <is>
          <t>Migrate, audit and cut over. 207 PD at P80 over 40 weeks. INR 2,775,579 ex-GST. Do not commit to this figure: it must be re-derived from Stage 1's register, which is what milestone M6 delivers.</t>
        </is>
      </c>
    </row>
    <row r="7" ht="30" customHeight="1">
      <c r="A7" s="5" t="inlineStr">
        <is>
          <t>Options — none included</t>
        </is>
      </c>
      <c r="B7" s="6" t="inlineStr">
        <is>
          <t>621 PD at P80, INR 5,698,132 ex-GST if all were taken. Dominated by hand-keying, because the destination has no bulk import. Each is a separate sponsor decision.</t>
        </is>
      </c>
    </row>
    <row r="8" ht="15" customHeight="1">
      <c r="A8" s="5" t="inlineStr">
        <is>
          <t>Programme elapsed</t>
        </is>
      </c>
      <c r="B8" s="6" t="inlineStr">
        <is>
          <t>76 weeks (17.5 months): 24 weeks of Stage 1, 12 weeks to procure Stage 2, 40 weeks of Stage 2.</t>
        </is>
      </c>
    </row>
    <row r="10" ht="15" customHeight="1">
      <c r="A10" s="3" t="inlineStr">
        <is>
          <t>HOW TO READ IT</t>
        </is>
      </c>
      <c r="B10" s="4" t="inlineStr"/>
    </row>
    <row r="11" ht="15" customHeight="1">
      <c r="A11" s="5" t="inlineStr">
        <is>
          <t>Programme Summary</t>
        </is>
      </c>
      <c r="B11" s="6" t="inlineStr">
        <is>
          <t>All three stages side by side — effort, cost, price, duration, and what each one buys.</t>
        </is>
      </c>
    </row>
    <row r="12" ht="30" customHeight="1">
      <c r="A12" s="5" t="inlineStr">
        <is>
          <t>Programme Timeline</t>
        </is>
      </c>
      <c r="B12" s="6" t="inlineStr">
        <is>
          <t>Master Gantt across all 76 weeks. Bar colour is the phase; the grey band is the procurement gap between stages.</t>
        </is>
      </c>
    </row>
    <row r="13" ht="30" customHeight="1">
      <c r="A13" s="5" t="inlineStr">
        <is>
          <t>Milestones &amp; Payments</t>
        </is>
      </c>
      <c r="B13" s="6" t="inlineStr">
        <is>
          <t>Twelve milestones across both stages, each with an exit criterion that can be failed and the evidence that closes it.</t>
        </is>
      </c>
    </row>
    <row r="14" ht="15" customHeight="1">
      <c r="A14" s="5" t="inlineStr">
        <is>
          <t>Cash Flow</t>
        </is>
      </c>
      <c r="B14" s="6" t="inlineStr">
        <is>
          <t>Cost incurred against cash received on a four-week payment lag, across the whole programme.</t>
        </is>
      </c>
    </row>
    <row r="15" ht="15" customHeight="1">
      <c r="A15" s="5" t="inlineStr">
        <is>
          <t>Resource Plan</t>
        </is>
      </c>
      <c r="B15" s="6" t="inlineStr">
        <is>
          <t>Person-days and FTE by role and four-week period, derived from each package's own role mix.</t>
        </is>
      </c>
    </row>
    <row r="16" ht="15" customHeight="1">
      <c r="A16" s="5" t="inlineStr">
        <is>
          <t>Work Packages</t>
        </is>
      </c>
      <c r="B16" s="6" t="inlineStr">
        <is>
          <t>All packages with three-point estimates and scheduled weeks, including the four handed back to IPC and NIC.</t>
        </is>
      </c>
    </row>
    <row r="17" ht="15" customHeight="1">
      <c r="A17" s="5" t="inlineStr">
        <is>
          <t>Options &amp; Exclusions</t>
        </is>
      </c>
      <c r="B17" s="6" t="inlineStr">
        <is>
          <t>The priced options, and the statutory costs that genuinely cannot be priced yet.</t>
        </is>
      </c>
    </row>
    <row r="18" ht="15" customHeight="1">
      <c r="A18" s="5" t="inlineStr">
        <is>
          <t>Confidence</t>
        </is>
      </c>
      <c r="B18" s="6" t="inlineStr">
        <is>
          <t>Percentiles, the correlation assumption and its sensitivity, and where the uncertainty actually lives.</t>
        </is>
      </c>
    </row>
    <row r="19" ht="15" customHeight="1">
      <c r="A19" s="5" t="inlineStr">
        <is>
          <t>Rate Card &amp; Commercials</t>
        </is>
      </c>
      <c r="B19" s="6" t="inlineStr">
        <is>
          <t>Roles and rates, the supplier-tier envelope test, and EMD, PBG and LD at IPC's own revealed rates.</t>
        </is>
      </c>
    </row>
    <row r="20" ht="45" customHeight="1">
      <c r="A20" s="5" t="inlineStr">
        <is>
          <t>Charts</t>
        </is>
      </c>
      <c r="B20" s="6" t="inlineStr">
        <is>
          <t>Four live Excel charts: a phase-level Gantt, a package-level Gantt across all 49 packages, resource loading stacked by role, and team size in FTE. Their backing data sits to the right in column AD — edit it and the charts move.</t>
        </is>
      </c>
    </row>
    <row r="22" ht="15" customHeight="1">
      <c r="A22" s="3" t="inlineStr">
        <is>
          <t>UNITS</t>
        </is>
      </c>
      <c r="B22" s="4" t="inlineStr"/>
    </row>
    <row r="23" ht="15" customHeight="1">
      <c r="A23" s="5" t="inlineStr">
        <is>
          <t>PD — person-day</t>
        </is>
      </c>
      <c r="B23" s="6" t="inlineStr">
        <is>
          <t>One person for one day. 21 PD make a person-month; 20 PD make one four-week period at five days a week.</t>
        </is>
      </c>
    </row>
    <row r="24" ht="30" customHeight="1">
      <c r="A24" s="5" t="inlineStr">
        <is>
          <t>P80</t>
        </is>
      </c>
      <c r="B24" s="6" t="inlineStr">
        <is>
          <t>Four engagements in five finish at or below this effort. The standard basis for a fixed-price government contract. P50 is even odds and should never be bid.</t>
        </is>
      </c>
    </row>
    <row r="25" ht="30" customHeight="1">
      <c r="A25" s="5" t="inlineStr">
        <is>
          <t>INR lakh</t>
        </is>
      </c>
      <c r="B25" s="6" t="inlineStr">
        <is>
          <t>One hundred thousand rupees. Payment values are given in full rupees so they can be transcribed into a purchase order.</t>
        </is>
      </c>
    </row>
    <row r="26" ht="30" customHeight="1">
      <c r="A26" s="5" t="inlineStr">
        <is>
          <t>Ex-GST / inc-GST</t>
        </is>
      </c>
      <c r="B26" s="6" t="inlineStr">
        <is>
          <t>Contract value before and after GST at 18%. Verify whether IPC can claim input credit as an autonomous body — if not, GST is a real cost to the buyer.</t>
        </is>
      </c>
    </row>
    <row r="28" ht="15" customHeight="1">
      <c r="A28" s="3" t="inlineStr">
        <is>
          <t>THREE THINGS TO SETTLE BEFORE SIGNING</t>
        </is>
      </c>
      <c r="B28" s="4" t="inlineStr"/>
    </row>
    <row r="29" ht="45" customHeight="1">
      <c r="A29" s="5" t="inlineStr">
        <is>
          <t>Supplier tier</t>
        </is>
      </c>
      <c r="B29" s="6" t="inlineStr">
        <is>
          <t>This price assumes a boutique or specialist supplier. IPC's own last IT tender (GEM/2026/B/7781379, 13-07-2026) demanded ISO 9001, ISO 27000 and CMMI Level 3 — a bar that excludes that tier. At mid-tier rates Stage 1 is roughly INR 33 lakh. Resolve the procurement category before bidding, not at evaluation.</t>
        </is>
      </c>
    </row>
    <row r="30" ht="45" customHeight="1">
      <c r="A30" s="5" t="inlineStr">
        <is>
          <t>How much content survives</t>
        </is>
      </c>
      <c r="B30" s="6" t="inlineStr">
        <is>
          <t>The destination has no bulk import, and MoHFW — IPC's own ministry — carried across 28 pages and no documents at all. Against IPC's 1,084 items and 2,758 PDFs, triage is the whole project rather than a tidying step. This single answer swings the options by hundreds of person-days.</t>
        </is>
      </c>
    </row>
    <row r="31" ht="30" customHeight="1">
      <c r="A31" s="5" t="inlineStr">
        <is>
          <t>Performance guarantee term</t>
        </is>
      </c>
      <c r="B31" s="6" t="inlineStr">
        <is>
          <t>IPC's revealed ePBG was 5% held for 60 months. On a 24-week assignment that is a five-year guarantee against a six-month job. Negotiate the term, not only the rate.</t>
        </is>
      </c>
    </row>
    <row r="33" ht="45" customHeight="1">
      <c r="A33" s="5" t="inlineStr">
        <is>
          <t>WHAT MOVED IN THE SCHEDULE</t>
        </is>
      </c>
      <c r="B33" s="6" t="inlineStr">
        <is>
          <t>Phase 2 starts in week 3, in parallel with Phase 1 rather than after it. The 302-to-404 behaviour measured on 2026-09-01 is a usable existence oracle, so the inventory is not blocked on the 404 fix — which removes roughly six weeks from the plan's original sequencing.</t>
        </is>
      </c>
    </row>
    <row r="34" ht="75" customHeight="1">
      <c r="A34" s="5" t="inlineStr">
        <is>
          <t>THE GAP BETWEEN STAGES</t>
        </is>
      </c>
      <c r="B34" s="6" t="inlineStr">
        <is>
          <t>Stage 2 cannot be procured until Stage 1 delivers the baseline that makes it costable. Twelve weeks is the planning figure for that gap: IPC's last bid ran 11 days from publication to close, but carried 180 days of bid validity, and the governance chain — Secretary, then Chairman of the Governing Body, then the Governing Body — is the long pole. Range 8 to 16 weeks. This gap is where programmes lose time, so it is drawn rather than hidden.</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showGridLines="0" workbookViewId="0">
      <pane ySplit="4" topLeftCell="A5" activePane="bottomLeft" state="frozen"/>
      <selection pane="bottomLeft" activeCell="A1" sqref="A1"/>
    </sheetView>
  </sheetViews>
  <sheetFormatPr baseColWidth="8" defaultRowHeight="15"/>
  <cols>
    <col width="22" customWidth="1" min="1" max="1"/>
    <col width="56" customWidth="1" min="2" max="2"/>
    <col width="10" customWidth="1" min="3" max="3"/>
    <col width="10" customWidth="1" min="4" max="4"/>
    <col width="8" customWidth="1" min="5" max="5"/>
    <col width="14" customWidth="1" min="6" max="6"/>
    <col width="16" customWidth="1" min="7" max="7"/>
    <col width="16" customWidth="1" min="8" max="8"/>
  </cols>
  <sheetData>
    <row r="1" ht="22" customHeight="1">
      <c r="A1" s="1" t="inlineStr">
        <is>
          <t>Programme summary</t>
        </is>
      </c>
    </row>
    <row r="2" ht="28" customHeight="1">
      <c r="A2" s="2" t="inlineStr">
        <is>
          <t>Boutique tier, 15% margin, P80. Stage 2 is indicative and must be re-derived from Stage 1's register before it is committed to.</t>
        </is>
      </c>
    </row>
    <row r="4" ht="30" customHeight="1">
      <c r="A4" s="7" t="inlineStr">
        <is>
          <t>Stage</t>
        </is>
      </c>
      <c r="B4" s="7" t="inlineStr">
        <is>
          <t>What it buys</t>
        </is>
      </c>
      <c r="C4" s="7" t="inlineStr">
        <is>
          <t>Packages</t>
        </is>
      </c>
      <c r="D4" s="7" t="inlineStr">
        <is>
          <t>PD (P80)</t>
        </is>
      </c>
      <c r="E4" s="7" t="inlineStr">
        <is>
          <t>Weeks</t>
        </is>
      </c>
      <c r="F4" s="7" t="inlineStr">
        <is>
          <t>Blended INR/PD</t>
        </is>
      </c>
      <c r="G4" s="7" t="inlineStr">
        <is>
          <t>Ex-GST (INR)</t>
        </is>
      </c>
      <c r="H4" s="7" t="inlineStr">
        <is>
          <t>Inc-GST (INR)</t>
        </is>
      </c>
    </row>
    <row r="5" ht="30" customHeight="1">
      <c r="A5" s="8" t="inlineStr">
        <is>
          <t>Stage 1 · Remediate and baseline</t>
        </is>
      </c>
      <c r="B5" s="9" t="inlineStr">
        <is>
          <t>Real 404s, UTF-8, CSP, lang. One signed inventory. One decided redirect map. A Stage 2 cost baseline.</t>
        </is>
      </c>
      <c r="C5" s="10" t="n">
        <v>25</v>
      </c>
      <c r="D5" s="11" t="n">
        <v>178.7</v>
      </c>
      <c r="E5" s="10" t="n">
        <v>24</v>
      </c>
      <c r="F5" s="12" t="n">
        <v>10800.48245054244</v>
      </c>
      <c r="G5" s="12" t="n">
        <v>2388289.663425804</v>
      </c>
      <c r="H5" s="12" t="n">
        <v>2818181.802842449</v>
      </c>
    </row>
    <row r="6" ht="30" customHeight="1">
      <c r="A6" s="13" t="inlineStr">
        <is>
          <t>Procurement gap</t>
        </is>
      </c>
      <c r="B6" s="14" t="inlineStr">
        <is>
          <t>Stage 2 cannot be procured until Stage 1 makes it costable. Range 8–16 weeks.</t>
        </is>
      </c>
      <c r="C6" s="15" t="inlineStr"/>
      <c r="D6" s="16" t="inlineStr"/>
      <c r="E6" s="15" t="n">
        <v>12</v>
      </c>
      <c r="F6" s="17" t="inlineStr"/>
      <c r="G6" s="17" t="inlineStr"/>
      <c r="H6" s="17" t="inlineStr"/>
    </row>
    <row r="7" ht="30" customHeight="1">
      <c r="A7" s="8" t="inlineStr">
        <is>
          <t>Stage 2 · Migrate and cut over</t>
        </is>
      </c>
      <c r="B7" s="9" t="inlineStr">
        <is>
          <t>Platform tenancy, IA, content load, accessibility, audit clearance, cut-over, hypercare.</t>
        </is>
      </c>
      <c r="C7" s="10" t="n">
        <v>24</v>
      </c>
      <c r="D7" s="11" t="n">
        <v>206.8</v>
      </c>
      <c r="E7" s="10" t="n">
        <v>40</v>
      </c>
      <c r="F7" s="12" t="n">
        <v>10924.76821192053</v>
      </c>
      <c r="G7" s="12" t="n">
        <v>2775578.901441372</v>
      </c>
      <c r="H7" s="12" t="n">
        <v>3275183.103700819</v>
      </c>
    </row>
    <row r="8" ht="30" customHeight="1">
      <c r="A8" s="8" t="inlineStr">
        <is>
          <t>Options · not included</t>
        </is>
      </c>
      <c r="B8" s="9" t="inlineStr">
        <is>
          <t>Hand authoring, document loading, PDF remediation, translation, applications replatform, STQC, IAAP.</t>
        </is>
      </c>
      <c r="C8" s="10" t="n">
        <v>9</v>
      </c>
      <c r="D8" s="11" t="n">
        <v>621.2</v>
      </c>
      <c r="E8" s="10" t="inlineStr"/>
      <c r="F8" s="12" t="n">
        <v>7796.864020006253</v>
      </c>
      <c r="G8" s="12" t="n">
        <v>5698131.68144457</v>
      </c>
      <c r="H8" s="12" t="n">
        <v>6723795.384104593</v>
      </c>
    </row>
    <row r="10">
      <c r="A10" s="18" t="inlineStr">
        <is>
          <t>Stage 1 + Stage 2, as two contracts</t>
        </is>
      </c>
      <c r="B10" s="18" t="inlineStr"/>
      <c r="C10" s="19" t="n">
        <v>49</v>
      </c>
      <c r="D10" s="20" t="n">
        <v>385.5</v>
      </c>
      <c r="E10" s="19" t="n">
        <v>76</v>
      </c>
      <c r="F10" s="18" t="inlineStr"/>
      <c r="G10" s="21" t="n">
        <v>5163868.564867176</v>
      </c>
      <c r="H10" s="21" t="n">
        <v>6093364.906543268</v>
      </c>
    </row>
    <row r="11">
      <c r="A11" s="18" t="inlineStr">
        <is>
          <t>Everything, options included</t>
        </is>
      </c>
      <c r="B11" s="18" t="inlineStr"/>
      <c r="C11" s="19" t="n">
        <v>58</v>
      </c>
      <c r="D11" s="20" t="n">
        <v>1006.7</v>
      </c>
      <c r="E11" s="19" t="n">
        <v>76</v>
      </c>
      <c r="F11" s="18" t="inlineStr"/>
      <c r="G11" s="21" t="n">
        <v>10862000.24631175</v>
      </c>
      <c r="H11" s="21" t="n">
        <v>12817160.29064786</v>
      </c>
    </row>
    <row r="13">
      <c r="A13" s="22" t="inlineStr">
        <is>
          <t>Not in any figure above</t>
        </is>
      </c>
    </row>
    <row r="14" ht="28" customHeight="1">
      <c r="A14" s="23" t="inlineStr">
        <is>
          <t>STQC Certified Quality Website fee</t>
        </is>
      </c>
      <c r="B14" s="24" t="inlineStr">
        <is>
          <t>No GIGW 3.0 tariff is published — The circulating INR 40,000 is real but its own section 6.1 scopes it to GIGW version 2009 and 87 test points. Obtain a written quote from the assigned STQC IT Laboratory, payable via Bharatkosh.</t>
        </is>
      </c>
    </row>
    <row r="15" ht="28" customHeight="1">
      <c r="A15" s="23" t="inlineStr">
        <is>
          <t>CERT-In empanelled security audit</t>
        </is>
      </c>
      <c r="B15" s="24" t="inlineStr">
        <is>
          <t>Bimodal: zero or lakhs — GIGW 3.0 accepts clearance from NIC, STQC or a CERT-In empanelled vendor. If NIC performs it the line is zero. If procured, no Indian government body publishes a VAPT rate card and it goes to quotation.</t>
        </is>
      </c>
    </row>
    <row r="16" ht="28" customHeight="1">
      <c r="A16" s="23" t="inlineStr">
        <is>
          <t>IAAP Certified Auditor Review Report</t>
        </is>
      </c>
      <c r="B16" s="24" t="inlineStr">
        <is>
          <t>Unpriced, and newly mandatory — STQC OM F.No. STQC/IT&amp;eGov/WQC/2022 dated 30.06.2025 makes it a pre-requisite for GIGW evaluation. Commencement language is equivocal - confirm before relying on the date.</t>
        </is>
      </c>
    </row>
    <row r="17">
      <c r="A17" s="25" t="inlineStr">
        <is>
          <t>…and four more</t>
        </is>
      </c>
      <c r="B17" s="25" t="inlineStr">
        <is>
          <t>See the Options &amp; Exclusions sheet.</t>
        </is>
      </c>
    </row>
    <row r="19" ht="42" customHeight="1">
      <c r="A19" s="23" t="inlineStr">
        <is>
          <t>Client effort</t>
        </is>
      </c>
      <c r="B19" s="24" t="inlineStr">
        <is>
          <t>40–70 person-days of IPC subject-matter time for Stage 1 triage sign-off, and a content-authoring commitment in Stage 2. Tracked, never billed, and not purchasable: 60–80% of a content audit is client-side. An under-resourced client is a schedule risk that first presents itself as a cost saving.</t>
        </is>
      </c>
    </row>
  </sheetData>
  <mergeCells count="6">
    <mergeCell ref="B14:H14"/>
    <mergeCell ref="A2:H2"/>
    <mergeCell ref="B16:H16"/>
    <mergeCell ref="B15:H15"/>
    <mergeCell ref="A1:H1"/>
    <mergeCell ref="B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D66"/>
  <sheetViews>
    <sheetView showGridLines="0" workbookViewId="0">
      <pane ySplit="4" topLeftCell="A5" activePane="bottomLeft" state="frozen"/>
      <selection pane="bottomLeft" activeCell="A1" sqref="A1"/>
    </sheetView>
  </sheetViews>
  <sheetFormatPr baseColWidth="8" defaultRowHeight="15"/>
  <cols>
    <col width="7" customWidth="1" min="1" max="1"/>
    <col width="50" customWidth="1" min="2" max="2"/>
    <col width="24" customWidth="1" min="3" max="3"/>
    <col width="8" customWidth="1" min="4" max="4"/>
    <col width="6" customWidth="1" min="5" max="5"/>
    <col width="6"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3" customWidth="1" min="21" max="21"/>
    <col width="3" customWidth="1" min="22" max="22"/>
    <col width="3" customWidth="1" min="23" max="23"/>
    <col width="3" customWidth="1" min="24" max="24"/>
    <col width="3" customWidth="1" min="25" max="25"/>
    <col width="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3" customWidth="1" min="38" max="38"/>
    <col width="3" customWidth="1" min="39" max="39"/>
    <col width="3" customWidth="1" min="40" max="40"/>
    <col width="3" customWidth="1" min="41" max="41"/>
    <col width="3" customWidth="1" min="42" max="42"/>
    <col width="3" customWidth="1" min="43" max="43"/>
    <col width="3" customWidth="1" min="44" max="44"/>
    <col width="3" customWidth="1" min="45" max="45"/>
    <col width="3" customWidth="1" min="46" max="46"/>
    <col width="3" customWidth="1" min="47" max="47"/>
    <col width="3" customWidth="1" min="48" max="48"/>
    <col width="3" customWidth="1" min="49" max="49"/>
    <col width="3" customWidth="1" min="50" max="50"/>
    <col width="3" customWidth="1" min="51" max="51"/>
    <col width="3" customWidth="1" min="52" max="52"/>
    <col width="3" customWidth="1" min="53" max="53"/>
    <col width="3" customWidth="1" min="54" max="54"/>
    <col width="3" customWidth="1" min="55" max="55"/>
    <col width="3" customWidth="1" min="56" max="56"/>
    <col width="3" customWidth="1" min="57" max="57"/>
    <col width="3" customWidth="1" min="58" max="58"/>
    <col width="3" customWidth="1" min="59" max="59"/>
    <col width="3" customWidth="1" min="60" max="60"/>
    <col width="3" customWidth="1" min="61" max="61"/>
    <col width="3" customWidth="1" min="62" max="62"/>
    <col width="3" customWidth="1" min="63" max="63"/>
    <col width="3" customWidth="1" min="64" max="64"/>
    <col width="3" customWidth="1" min="65" max="65"/>
    <col width="3" customWidth="1" min="66" max="66"/>
    <col width="3" customWidth="1" min="67" max="67"/>
    <col width="3" customWidth="1" min="68" max="68"/>
    <col width="3" customWidth="1" min="69" max="69"/>
    <col width="3" customWidth="1" min="70" max="70"/>
    <col width="3" customWidth="1" min="71" max="71"/>
    <col width="3" customWidth="1" min="72" max="72"/>
    <col width="3" customWidth="1" min="73" max="73"/>
    <col width="3" customWidth="1" min="74" max="74"/>
    <col width="3" customWidth="1" min="75" max="75"/>
    <col width="3" customWidth="1" min="76" max="76"/>
    <col width="3" customWidth="1" min="77" max="77"/>
    <col width="3" customWidth="1" min="78" max="78"/>
    <col width="3" customWidth="1" min="79" max="79"/>
    <col width="3" customWidth="1" min="80" max="80"/>
    <col width="3" customWidth="1" min="81" max="81"/>
    <col width="3" customWidth="1" min="82" max="82"/>
  </cols>
  <sheetData>
    <row r="1" ht="22" customHeight="1">
      <c r="A1" s="1" t="inlineStr">
        <is>
          <t>Programme timeline</t>
        </is>
      </c>
    </row>
    <row r="2" ht="28" customHeight="1">
      <c r="A2" s="2" t="inlineStr">
        <is>
          <t>76 weeks. Stage 1 W1–W24; procurement gap W25–W36; Stage 2 W37–W76. ◆ marks a milestone.</t>
        </is>
      </c>
    </row>
    <row r="4" ht="30" customHeight="1">
      <c r="A4" s="7" t="inlineStr">
        <is>
          <t>Ref</t>
        </is>
      </c>
      <c r="B4" s="7" t="inlineStr">
        <is>
          <t>Work package</t>
        </is>
      </c>
      <c r="C4" s="7" t="inlineStr">
        <is>
          <t>Phase</t>
        </is>
      </c>
      <c r="D4" s="7" t="inlineStr">
        <is>
          <t>PD</t>
        </is>
      </c>
      <c r="E4" s="7" t="inlineStr">
        <is>
          <t>Start</t>
        </is>
      </c>
      <c r="F4" s="7" t="inlineStr">
        <is>
          <t>End</t>
        </is>
      </c>
      <c r="G4" s="7" t="inlineStr">
        <is>
          <t>1</t>
        </is>
      </c>
      <c r="H4" s="26" t="inlineStr">
        <is>
          <t>M1</t>
        </is>
      </c>
      <c r="I4" s="7" t="inlineStr">
        <is>
          <t>3</t>
        </is>
      </c>
      <c r="J4" s="7" t="inlineStr">
        <is>
          <t>4</t>
        </is>
      </c>
      <c r="K4" s="7" t="inlineStr">
        <is>
          <t>5</t>
        </is>
      </c>
      <c r="L4" s="7" t="inlineStr">
        <is>
          <t>6</t>
        </is>
      </c>
      <c r="M4" s="7" t="inlineStr">
        <is>
          <t>7</t>
        </is>
      </c>
      <c r="N4" s="26" t="inlineStr">
        <is>
          <t>M2</t>
        </is>
      </c>
      <c r="O4" s="7" t="inlineStr">
        <is>
          <t>9</t>
        </is>
      </c>
      <c r="P4" s="7" t="inlineStr">
        <is>
          <t>10</t>
        </is>
      </c>
      <c r="Q4" s="7" t="inlineStr">
        <is>
          <t>11</t>
        </is>
      </c>
      <c r="R4" s="26" t="inlineStr">
        <is>
          <t>M3</t>
        </is>
      </c>
      <c r="S4" s="7" t="inlineStr">
        <is>
          <t>13</t>
        </is>
      </c>
      <c r="T4" s="7" t="inlineStr">
        <is>
          <t>14</t>
        </is>
      </c>
      <c r="U4" s="7" t="inlineStr">
        <is>
          <t>15</t>
        </is>
      </c>
      <c r="V4" s="26" t="inlineStr">
        <is>
          <t>M4</t>
        </is>
      </c>
      <c r="W4" s="7" t="inlineStr">
        <is>
          <t>17</t>
        </is>
      </c>
      <c r="X4" s="7" t="inlineStr">
        <is>
          <t>18</t>
        </is>
      </c>
      <c r="Y4" s="7" t="inlineStr">
        <is>
          <t>19</t>
        </is>
      </c>
      <c r="Z4" s="26" t="inlineStr">
        <is>
          <t>M5</t>
        </is>
      </c>
      <c r="AA4" s="7" t="inlineStr">
        <is>
          <t>21</t>
        </is>
      </c>
      <c r="AB4" s="7" t="inlineStr">
        <is>
          <t>22</t>
        </is>
      </c>
      <c r="AC4" s="7" t="inlineStr">
        <is>
          <t>23</t>
        </is>
      </c>
      <c r="AD4" s="26" t="inlineStr">
        <is>
          <t>M6</t>
        </is>
      </c>
      <c r="AE4" s="27" t="inlineStr">
        <is>
          <t>25</t>
        </is>
      </c>
      <c r="AF4" s="27" t="inlineStr">
        <is>
          <t>26</t>
        </is>
      </c>
      <c r="AG4" s="27" t="inlineStr">
        <is>
          <t>27</t>
        </is>
      </c>
      <c r="AH4" s="27" t="inlineStr">
        <is>
          <t>28</t>
        </is>
      </c>
      <c r="AI4" s="27" t="inlineStr">
        <is>
          <t>29</t>
        </is>
      </c>
      <c r="AJ4" s="27" t="inlineStr">
        <is>
          <t>30</t>
        </is>
      </c>
      <c r="AK4" s="27" t="inlineStr">
        <is>
          <t>31</t>
        </is>
      </c>
      <c r="AL4" s="27" t="inlineStr">
        <is>
          <t>32</t>
        </is>
      </c>
      <c r="AM4" s="27" t="inlineStr">
        <is>
          <t>33</t>
        </is>
      </c>
      <c r="AN4" s="27" t="inlineStr">
        <is>
          <t>34</t>
        </is>
      </c>
      <c r="AO4" s="27" t="inlineStr">
        <is>
          <t>35</t>
        </is>
      </c>
      <c r="AP4" s="27" t="inlineStr">
        <is>
          <t>36</t>
        </is>
      </c>
      <c r="AQ4" s="7" t="inlineStr">
        <is>
          <t>37</t>
        </is>
      </c>
      <c r="AR4" s="7" t="inlineStr">
        <is>
          <t>38</t>
        </is>
      </c>
      <c r="AS4" s="7" t="inlineStr">
        <is>
          <t>39</t>
        </is>
      </c>
      <c r="AT4" s="26" t="inlineStr">
        <is>
          <t>N1</t>
        </is>
      </c>
      <c r="AU4" s="7" t="inlineStr">
        <is>
          <t>41</t>
        </is>
      </c>
      <c r="AV4" s="7" t="inlineStr">
        <is>
          <t>42</t>
        </is>
      </c>
      <c r="AW4" s="7" t="inlineStr">
        <is>
          <t>43</t>
        </is>
      </c>
      <c r="AX4" s="7" t="inlineStr">
        <is>
          <t>44</t>
        </is>
      </c>
      <c r="AY4" s="7" t="inlineStr">
        <is>
          <t>45</t>
        </is>
      </c>
      <c r="AZ4" s="26" t="inlineStr">
        <is>
          <t>N2</t>
        </is>
      </c>
      <c r="BA4" s="7" t="inlineStr">
        <is>
          <t>47</t>
        </is>
      </c>
      <c r="BB4" s="7" t="inlineStr">
        <is>
          <t>48</t>
        </is>
      </c>
      <c r="BC4" s="7" t="inlineStr">
        <is>
          <t>49</t>
        </is>
      </c>
      <c r="BD4" s="7" t="inlineStr">
        <is>
          <t>50</t>
        </is>
      </c>
      <c r="BE4" s="7" t="inlineStr">
        <is>
          <t>51</t>
        </is>
      </c>
      <c r="BF4" s="7" t="inlineStr">
        <is>
          <t>52</t>
        </is>
      </c>
      <c r="BG4" s="7" t="inlineStr">
        <is>
          <t>53</t>
        </is>
      </c>
      <c r="BH4" s="7" t="inlineStr">
        <is>
          <t>54</t>
        </is>
      </c>
      <c r="BI4" s="7" t="inlineStr">
        <is>
          <t>55</t>
        </is>
      </c>
      <c r="BJ4" s="7" t="inlineStr">
        <is>
          <t>56</t>
        </is>
      </c>
      <c r="BK4" s="7" t="inlineStr">
        <is>
          <t>57</t>
        </is>
      </c>
      <c r="BL4" s="26" t="inlineStr">
        <is>
          <t>N3</t>
        </is>
      </c>
      <c r="BM4" s="7" t="inlineStr">
        <is>
          <t>59</t>
        </is>
      </c>
      <c r="BN4" s="7" t="inlineStr">
        <is>
          <t>60</t>
        </is>
      </c>
      <c r="BO4" s="7" t="inlineStr">
        <is>
          <t>61</t>
        </is>
      </c>
      <c r="BP4" s="7" t="inlineStr">
        <is>
          <t>62</t>
        </is>
      </c>
      <c r="BQ4" s="7" t="inlineStr">
        <is>
          <t>63</t>
        </is>
      </c>
      <c r="BR4" s="7" t="inlineStr">
        <is>
          <t>64</t>
        </is>
      </c>
      <c r="BS4" s="7" t="inlineStr">
        <is>
          <t>65</t>
        </is>
      </c>
      <c r="BT4" s="7" t="inlineStr">
        <is>
          <t>66</t>
        </is>
      </c>
      <c r="BU4" s="7" t="inlineStr">
        <is>
          <t>67</t>
        </is>
      </c>
      <c r="BV4" s="7" t="inlineStr">
        <is>
          <t>68</t>
        </is>
      </c>
      <c r="BW4" s="7" t="inlineStr">
        <is>
          <t>69</t>
        </is>
      </c>
      <c r="BX4" s="26" t="inlineStr">
        <is>
          <t>N4</t>
        </is>
      </c>
      <c r="BY4" s="7" t="inlineStr">
        <is>
          <t>71</t>
        </is>
      </c>
      <c r="BZ4" s="7" t="inlineStr">
        <is>
          <t>72</t>
        </is>
      </c>
      <c r="CA4" s="26" t="inlineStr">
        <is>
          <t>N5</t>
        </is>
      </c>
      <c r="CB4" s="7" t="inlineStr">
        <is>
          <t>74</t>
        </is>
      </c>
      <c r="CC4" s="7" t="inlineStr">
        <is>
          <t>75</t>
        </is>
      </c>
      <c r="CD4" s="26" t="inlineStr">
        <is>
          <t>N6</t>
        </is>
      </c>
    </row>
    <row r="5">
      <c r="A5" s="28" t="inlineStr">
        <is>
          <t>STAGE 1 · Remediate and baseline · W1–W24 · 179 PD</t>
        </is>
      </c>
      <c r="G5" s="29" t="n"/>
      <c r="H5" s="29" t="n"/>
      <c r="I5" s="29" t="n"/>
      <c r="J5" s="29" t="n"/>
      <c r="K5" s="29" t="n"/>
      <c r="L5" s="29" t="n"/>
      <c r="M5" s="29" t="n"/>
      <c r="N5" s="29" t="n"/>
      <c r="O5" s="29" t="n"/>
      <c r="P5" s="29" t="n"/>
      <c r="Q5" s="29" t="n"/>
      <c r="R5" s="29" t="n"/>
      <c r="S5" s="29" t="n"/>
      <c r="T5" s="29" t="n"/>
      <c r="U5" s="29" t="n"/>
      <c r="V5" s="29" t="n"/>
      <c r="W5" s="29" t="n"/>
      <c r="X5" s="29" t="n"/>
      <c r="Y5" s="29" t="n"/>
      <c r="Z5" s="29" t="n"/>
      <c r="AA5" s="29" t="n"/>
      <c r="AB5" s="29" t="n"/>
      <c r="AC5" s="29" t="n"/>
      <c r="AD5" s="29" t="n"/>
      <c r="AE5" s="29" t="n"/>
      <c r="AF5" s="29" t="n"/>
      <c r="AG5" s="29" t="n"/>
      <c r="AH5" s="29" t="n"/>
      <c r="AI5" s="29" t="n"/>
      <c r="AJ5" s="29" t="n"/>
      <c r="AK5" s="29" t="n"/>
      <c r="AL5" s="29" t="n"/>
      <c r="AM5" s="29" t="n"/>
      <c r="AN5" s="29" t="n"/>
      <c r="AO5" s="29" t="n"/>
      <c r="AP5" s="29" t="n"/>
      <c r="AQ5" s="29" t="n"/>
      <c r="AR5" s="29" t="n"/>
      <c r="AS5" s="29" t="n"/>
      <c r="AT5" s="29" t="n"/>
      <c r="AU5" s="29" t="n"/>
      <c r="AV5" s="29" t="n"/>
      <c r="AW5" s="29" t="n"/>
      <c r="AX5" s="29" t="n"/>
      <c r="AY5" s="29" t="n"/>
      <c r="AZ5" s="29" t="n"/>
      <c r="BA5" s="29" t="n"/>
      <c r="BB5" s="29" t="n"/>
      <c r="BC5" s="29" t="n"/>
      <c r="BD5" s="29" t="n"/>
      <c r="BE5" s="29" t="n"/>
      <c r="BF5" s="29" t="n"/>
      <c r="BG5" s="29" t="n"/>
      <c r="BH5" s="29" t="n"/>
      <c r="BI5" s="29" t="n"/>
      <c r="BJ5" s="29" t="n"/>
      <c r="BK5" s="29" t="n"/>
      <c r="BL5" s="29" t="n"/>
      <c r="BM5" s="29" t="n"/>
      <c r="BN5" s="29" t="n"/>
      <c r="BO5" s="29" t="n"/>
      <c r="BP5" s="29" t="n"/>
      <c r="BQ5" s="29" t="n"/>
      <c r="BR5" s="29" t="n"/>
      <c r="BS5" s="29" t="n"/>
      <c r="BT5" s="29" t="n"/>
      <c r="BU5" s="29" t="n"/>
      <c r="BV5" s="29" t="n"/>
      <c r="BW5" s="29" t="n"/>
      <c r="BX5" s="29" t="n"/>
      <c r="BY5" s="29" t="n"/>
      <c r="BZ5" s="29" t="n"/>
      <c r="CA5" s="29" t="n"/>
      <c r="CB5" s="29" t="n"/>
      <c r="CC5" s="29" t="n"/>
      <c r="CD5" s="29" t="n"/>
    </row>
    <row r="6">
      <c r="A6" s="30" t="inlineStr">
        <is>
          <t>0.1</t>
        </is>
      </c>
      <c r="B6" s="31" t="inlineStr">
        <is>
          <t>Correct the brief; re-issue the objective in writing</t>
        </is>
      </c>
      <c r="C6" s="31" t="inlineStr">
        <is>
          <t>0 · Mandate and decisions</t>
        </is>
      </c>
      <c r="D6" s="32" t="n">
        <v>4.6</v>
      </c>
      <c r="E6" s="33" t="n">
        <v>1</v>
      </c>
      <c r="F6" s="33" t="n">
        <v>3</v>
      </c>
      <c r="G6" s="34" t="n"/>
      <c r="H6" s="34" t="n"/>
      <c r="I6" s="34" t="n"/>
      <c r="J6" s="35" t="n"/>
      <c r="K6" s="35" t="n"/>
      <c r="L6" s="35" t="n"/>
      <c r="M6" s="35" t="n"/>
      <c r="N6" s="35" t="n"/>
      <c r="O6" s="35" t="n"/>
      <c r="P6" s="35" t="n"/>
      <c r="Q6" s="35" t="n"/>
      <c r="R6" s="35" t="n"/>
      <c r="S6" s="35" t="n"/>
      <c r="T6" s="35" t="n"/>
      <c r="U6" s="35" t="n"/>
      <c r="V6" s="35" t="n"/>
      <c r="W6" s="35" t="n"/>
      <c r="X6" s="35" t="n"/>
      <c r="Y6" s="35" t="n"/>
      <c r="Z6" s="35" t="n"/>
      <c r="AA6" s="35" t="n"/>
      <c r="AB6" s="35" t="n"/>
      <c r="AC6" s="35" t="n"/>
      <c r="AD6" s="35" t="n"/>
      <c r="AE6" s="36" t="n"/>
      <c r="AF6" s="36" t="n"/>
      <c r="AG6" s="36" t="n"/>
      <c r="AH6" s="36" t="n"/>
      <c r="AI6" s="36" t="n"/>
      <c r="AJ6" s="36" t="n"/>
      <c r="AK6" s="36" t="n"/>
      <c r="AL6" s="36" t="n"/>
      <c r="AM6" s="36" t="n"/>
      <c r="AN6" s="36" t="n"/>
      <c r="AO6" s="36" t="n"/>
      <c r="AP6" s="36" t="n"/>
      <c r="AQ6" s="35" t="n"/>
      <c r="AR6" s="35" t="n"/>
      <c r="AS6" s="35" t="n"/>
      <c r="AT6" s="35" t="n"/>
      <c r="AU6" s="35" t="n"/>
      <c r="AV6" s="35" t="n"/>
      <c r="AW6" s="35" t="n"/>
      <c r="AX6" s="35" t="n"/>
      <c r="AY6" s="35" t="n"/>
      <c r="AZ6" s="35" t="n"/>
      <c r="BA6" s="35" t="n"/>
      <c r="BB6" s="35" t="n"/>
      <c r="BC6" s="35" t="n"/>
      <c r="BD6" s="35" t="n"/>
      <c r="BE6" s="35" t="n"/>
      <c r="BF6" s="35" t="n"/>
      <c r="BG6" s="35" t="n"/>
      <c r="BH6" s="35" t="n"/>
      <c r="BI6" s="35" t="n"/>
      <c r="BJ6" s="35" t="n"/>
      <c r="BK6" s="35" t="n"/>
      <c r="BL6" s="35" t="n"/>
      <c r="BM6" s="35" t="n"/>
      <c r="BN6" s="35" t="n"/>
      <c r="BO6" s="35" t="n"/>
      <c r="BP6" s="35" t="n"/>
      <c r="BQ6" s="35" t="n"/>
      <c r="BR6" s="35" t="n"/>
      <c r="BS6" s="35" t="n"/>
      <c r="BT6" s="35" t="n"/>
      <c r="BU6" s="35" t="n"/>
      <c r="BV6" s="35" t="n"/>
      <c r="BW6" s="35" t="n"/>
      <c r="BX6" s="35" t="n"/>
      <c r="BY6" s="35" t="n"/>
      <c r="BZ6" s="35" t="n"/>
      <c r="CA6" s="35" t="n"/>
      <c r="CB6" s="35" t="n"/>
      <c r="CC6" s="35" t="n"/>
      <c r="CD6" s="35" t="n"/>
    </row>
    <row r="7">
      <c r="A7" s="30" t="inlineStr">
        <is>
          <t>0.2</t>
        </is>
      </c>
      <c r="B7" s="31" t="inlineStr">
        <is>
          <t>Gov.In CMS intake via the MoHFW CIO route</t>
        </is>
      </c>
      <c r="C7" s="31" t="inlineStr">
        <is>
          <t>0 · Mandate and decisions</t>
        </is>
      </c>
      <c r="D7" s="32" t="n">
        <v>7.8</v>
      </c>
      <c r="E7" s="33" t="n">
        <v>2</v>
      </c>
      <c r="F7" s="33" t="n">
        <v>12</v>
      </c>
      <c r="G7" s="35" t="n"/>
      <c r="H7" s="34" t="n"/>
      <c r="I7" s="34" t="n"/>
      <c r="J7" s="34" t="n"/>
      <c r="K7" s="34" t="n"/>
      <c r="L7" s="34" t="n"/>
      <c r="M7" s="34" t="n"/>
      <c r="N7" s="34" t="n"/>
      <c r="O7" s="34" t="n"/>
      <c r="P7" s="34" t="n"/>
      <c r="Q7" s="34" t="n"/>
      <c r="R7" s="34" t="n"/>
      <c r="S7" s="35" t="n"/>
      <c r="T7" s="35" t="n"/>
      <c r="U7" s="35" t="n"/>
      <c r="V7" s="35" t="n"/>
      <c r="W7" s="35" t="n"/>
      <c r="X7" s="35" t="n"/>
      <c r="Y7" s="35" t="n"/>
      <c r="Z7" s="35" t="n"/>
      <c r="AA7" s="35" t="n"/>
      <c r="AB7" s="35" t="n"/>
      <c r="AC7" s="35" t="n"/>
      <c r="AD7" s="35" t="n"/>
      <c r="AE7" s="36" t="n"/>
      <c r="AF7" s="36" t="n"/>
      <c r="AG7" s="36" t="n"/>
      <c r="AH7" s="36" t="n"/>
      <c r="AI7" s="36" t="n"/>
      <c r="AJ7" s="36" t="n"/>
      <c r="AK7" s="36" t="n"/>
      <c r="AL7" s="36" t="n"/>
      <c r="AM7" s="36" t="n"/>
      <c r="AN7" s="36" t="n"/>
      <c r="AO7" s="36" t="n"/>
      <c r="AP7" s="36" t="n"/>
      <c r="AQ7" s="35" t="n"/>
      <c r="AR7" s="35" t="n"/>
      <c r="AS7" s="35" t="n"/>
      <c r="AT7" s="35" t="n"/>
      <c r="AU7" s="35" t="n"/>
      <c r="AV7" s="35" t="n"/>
      <c r="AW7" s="35" t="n"/>
      <c r="AX7" s="35" t="n"/>
      <c r="AY7" s="35" t="n"/>
      <c r="AZ7" s="35" t="n"/>
      <c r="BA7" s="35" t="n"/>
      <c r="BB7" s="35" t="n"/>
      <c r="BC7" s="35" t="n"/>
      <c r="BD7" s="35" t="n"/>
      <c r="BE7" s="35" t="n"/>
      <c r="BF7" s="35" t="n"/>
      <c r="BG7" s="35" t="n"/>
      <c r="BH7" s="35" t="n"/>
      <c r="BI7" s="35" t="n"/>
      <c r="BJ7" s="35" t="n"/>
      <c r="BK7" s="35" t="n"/>
      <c r="BL7" s="35" t="n"/>
      <c r="BM7" s="35" t="n"/>
      <c r="BN7" s="35" t="n"/>
      <c r="BO7" s="35" t="n"/>
      <c r="BP7" s="35" t="n"/>
      <c r="BQ7" s="35" t="n"/>
      <c r="BR7" s="35" t="n"/>
      <c r="BS7" s="35" t="n"/>
      <c r="BT7" s="35" t="n"/>
      <c r="BU7" s="35" t="n"/>
      <c r="BV7" s="35" t="n"/>
      <c r="BW7" s="35" t="n"/>
      <c r="BX7" s="35" t="n"/>
      <c r="BY7" s="35" t="n"/>
      <c r="BZ7" s="35" t="n"/>
      <c r="CA7" s="35" t="n"/>
      <c r="CB7" s="35" t="n"/>
      <c r="CC7" s="35" t="n"/>
      <c r="CD7" s="35" t="n"/>
    </row>
    <row r="8">
      <c r="A8" s="30" t="inlineStr">
        <is>
          <t>0.4</t>
        </is>
      </c>
      <c r="B8" s="31" t="inlineStr">
        <is>
          <t>registry.gov.in control and DNS readiness</t>
        </is>
      </c>
      <c r="C8" s="31" t="inlineStr">
        <is>
          <t>0 · Mandate and decisions</t>
        </is>
      </c>
      <c r="D8" s="32" t="n">
        <v>3</v>
      </c>
      <c r="E8" s="33" t="n">
        <v>4</v>
      </c>
      <c r="F8" s="33" t="n">
        <v>7</v>
      </c>
      <c r="G8" s="35" t="n"/>
      <c r="H8" s="35" t="n"/>
      <c r="I8" s="35" t="n"/>
      <c r="J8" s="34" t="n"/>
      <c r="K8" s="34" t="n"/>
      <c r="L8" s="34" t="n"/>
      <c r="M8" s="34" t="n"/>
      <c r="N8" s="35" t="n"/>
      <c r="O8" s="35" t="n"/>
      <c r="P8" s="35" t="n"/>
      <c r="Q8" s="35" t="n"/>
      <c r="R8" s="35" t="n"/>
      <c r="S8" s="35" t="n"/>
      <c r="T8" s="35" t="n"/>
      <c r="U8" s="35" t="n"/>
      <c r="V8" s="35" t="n"/>
      <c r="W8" s="35" t="n"/>
      <c r="X8" s="35" t="n"/>
      <c r="Y8" s="35" t="n"/>
      <c r="Z8" s="35" t="n"/>
      <c r="AA8" s="35" t="n"/>
      <c r="AB8" s="35" t="n"/>
      <c r="AC8" s="35" t="n"/>
      <c r="AD8" s="35" t="n"/>
      <c r="AE8" s="36" t="n"/>
      <c r="AF8" s="36" t="n"/>
      <c r="AG8" s="36" t="n"/>
      <c r="AH8" s="36" t="n"/>
      <c r="AI8" s="36" t="n"/>
      <c r="AJ8" s="36" t="n"/>
      <c r="AK8" s="36" t="n"/>
      <c r="AL8" s="36" t="n"/>
      <c r="AM8" s="36" t="n"/>
      <c r="AN8" s="36" t="n"/>
      <c r="AO8" s="36" t="n"/>
      <c r="AP8" s="36" t="n"/>
      <c r="AQ8" s="35" t="n"/>
      <c r="AR8" s="35" t="n"/>
      <c r="AS8" s="35" t="n"/>
      <c r="AT8" s="35" t="n"/>
      <c r="AU8" s="35" t="n"/>
      <c r="AV8" s="35" t="n"/>
      <c r="AW8" s="35" t="n"/>
      <c r="AX8" s="35" t="n"/>
      <c r="AY8" s="35" t="n"/>
      <c r="AZ8" s="35" t="n"/>
      <c r="BA8" s="35" t="n"/>
      <c r="BB8" s="35" t="n"/>
      <c r="BC8" s="35" t="n"/>
      <c r="BD8" s="35" t="n"/>
      <c r="BE8" s="35" t="n"/>
      <c r="BF8" s="35" t="n"/>
      <c r="BG8" s="35" t="n"/>
      <c r="BH8" s="35" t="n"/>
      <c r="BI8" s="35" t="n"/>
      <c r="BJ8" s="35" t="n"/>
      <c r="BK8" s="35" t="n"/>
      <c r="BL8" s="35" t="n"/>
      <c r="BM8" s="35" t="n"/>
      <c r="BN8" s="35" t="n"/>
      <c r="BO8" s="35" t="n"/>
      <c r="BP8" s="35" t="n"/>
      <c r="BQ8" s="35" t="n"/>
      <c r="BR8" s="35" t="n"/>
      <c r="BS8" s="35" t="n"/>
      <c r="BT8" s="35" t="n"/>
      <c r="BU8" s="35" t="n"/>
      <c r="BV8" s="35" t="n"/>
      <c r="BW8" s="35" t="n"/>
      <c r="BX8" s="35" t="n"/>
      <c r="BY8" s="35" t="n"/>
      <c r="BZ8" s="35" t="n"/>
      <c r="CA8" s="35" t="n"/>
      <c r="CB8" s="35" t="n"/>
      <c r="CC8" s="35" t="n"/>
      <c r="CD8" s="35" t="n"/>
    </row>
    <row r="9">
      <c r="A9" s="30" t="inlineStr">
        <is>
          <t>0.5</t>
        </is>
      </c>
      <c r="B9" s="31" t="inlineStr">
        <is>
          <t>Security-audit route settled in writing</t>
        </is>
      </c>
      <c r="C9" s="31" t="inlineStr">
        <is>
          <t>0 · Mandate and decisions</t>
        </is>
      </c>
      <c r="D9" s="32" t="n">
        <v>3</v>
      </c>
      <c r="E9" s="33" t="n">
        <v>5</v>
      </c>
      <c r="F9" s="33" t="n">
        <v>9</v>
      </c>
      <c r="G9" s="35" t="n"/>
      <c r="H9" s="35" t="n"/>
      <c r="I9" s="35" t="n"/>
      <c r="J9" s="35" t="n"/>
      <c r="K9" s="34" t="n"/>
      <c r="L9" s="34" t="n"/>
      <c r="M9" s="34" t="n"/>
      <c r="N9" s="34" t="n"/>
      <c r="O9" s="34" t="n"/>
      <c r="P9" s="35" t="n"/>
      <c r="Q9" s="35" t="n"/>
      <c r="R9" s="35" t="n"/>
      <c r="S9" s="35" t="n"/>
      <c r="T9" s="35" t="n"/>
      <c r="U9" s="35" t="n"/>
      <c r="V9" s="35" t="n"/>
      <c r="W9" s="35" t="n"/>
      <c r="X9" s="35" t="n"/>
      <c r="Y9" s="35" t="n"/>
      <c r="Z9" s="35" t="n"/>
      <c r="AA9" s="35" t="n"/>
      <c r="AB9" s="35" t="n"/>
      <c r="AC9" s="35" t="n"/>
      <c r="AD9" s="35" t="n"/>
      <c r="AE9" s="36" t="n"/>
      <c r="AF9" s="36" t="n"/>
      <c r="AG9" s="36" t="n"/>
      <c r="AH9" s="36" t="n"/>
      <c r="AI9" s="36" t="n"/>
      <c r="AJ9" s="36" t="n"/>
      <c r="AK9" s="36" t="n"/>
      <c r="AL9" s="36" t="n"/>
      <c r="AM9" s="36" t="n"/>
      <c r="AN9" s="36" t="n"/>
      <c r="AO9" s="36" t="n"/>
      <c r="AP9" s="36" t="n"/>
      <c r="AQ9" s="35" t="n"/>
      <c r="AR9" s="35" t="n"/>
      <c r="AS9" s="35" t="n"/>
      <c r="AT9" s="35" t="n"/>
      <c r="AU9" s="35" t="n"/>
      <c r="AV9" s="35" t="n"/>
      <c r="AW9" s="35" t="n"/>
      <c r="AX9" s="35" t="n"/>
      <c r="AY9" s="35" t="n"/>
      <c r="AZ9" s="35" t="n"/>
      <c r="BA9" s="35" t="n"/>
      <c r="BB9" s="35" t="n"/>
      <c r="BC9" s="35" t="n"/>
      <c r="BD9" s="35" t="n"/>
      <c r="BE9" s="35" t="n"/>
      <c r="BF9" s="35" t="n"/>
      <c r="BG9" s="35" t="n"/>
      <c r="BH9" s="35" t="n"/>
      <c r="BI9" s="35" t="n"/>
      <c r="BJ9" s="35" t="n"/>
      <c r="BK9" s="35" t="n"/>
      <c r="BL9" s="35" t="n"/>
      <c r="BM9" s="35" t="n"/>
      <c r="BN9" s="35" t="n"/>
      <c r="BO9" s="35" t="n"/>
      <c r="BP9" s="35" t="n"/>
      <c r="BQ9" s="35" t="n"/>
      <c r="BR9" s="35" t="n"/>
      <c r="BS9" s="35" t="n"/>
      <c r="BT9" s="35" t="n"/>
      <c r="BU9" s="35" t="n"/>
      <c r="BV9" s="35" t="n"/>
      <c r="BW9" s="35" t="n"/>
      <c r="BX9" s="35" t="n"/>
      <c r="BY9" s="35" t="n"/>
      <c r="BZ9" s="35" t="n"/>
      <c r="CA9" s="35" t="n"/>
      <c r="CB9" s="35" t="n"/>
      <c r="CC9" s="35" t="n"/>
      <c r="CD9" s="35" t="n"/>
    </row>
    <row r="10">
      <c r="A10" s="30" t="inlineStr">
        <is>
          <t>0.6</t>
        </is>
      </c>
      <c r="B10" s="31" t="inlineStr">
        <is>
          <t>Redirect-capability determination (pivotal)</t>
        </is>
      </c>
      <c r="C10" s="31" t="inlineStr">
        <is>
          <t>0 · Mandate and decisions</t>
        </is>
      </c>
      <c r="D10" s="32" t="n">
        <v>4.8</v>
      </c>
      <c r="E10" s="33" t="n">
        <v>3</v>
      </c>
      <c r="F10" s="33" t="n">
        <v>7</v>
      </c>
      <c r="G10" s="35" t="n"/>
      <c r="H10" s="35" t="n"/>
      <c r="I10" s="34" t="n"/>
      <c r="J10" s="34" t="n"/>
      <c r="K10" s="34" t="n"/>
      <c r="L10" s="34" t="n"/>
      <c r="M10" s="34" t="n"/>
      <c r="N10" s="35" t="n"/>
      <c r="O10" s="35" t="n"/>
      <c r="P10" s="35" t="n"/>
      <c r="Q10" s="35" t="n"/>
      <c r="R10" s="35" t="n"/>
      <c r="S10" s="35" t="n"/>
      <c r="T10" s="35" t="n"/>
      <c r="U10" s="35" t="n"/>
      <c r="V10" s="35" t="n"/>
      <c r="W10" s="35" t="n"/>
      <c r="X10" s="35" t="n"/>
      <c r="Y10" s="35" t="n"/>
      <c r="Z10" s="35" t="n"/>
      <c r="AA10" s="35" t="n"/>
      <c r="AB10" s="35" t="n"/>
      <c r="AC10" s="35" t="n"/>
      <c r="AD10" s="35" t="n"/>
      <c r="AE10" s="36" t="n"/>
      <c r="AF10" s="36" t="n"/>
      <c r="AG10" s="36" t="n"/>
      <c r="AH10" s="36" t="n"/>
      <c r="AI10" s="36" t="n"/>
      <c r="AJ10" s="36" t="n"/>
      <c r="AK10" s="36" t="n"/>
      <c r="AL10" s="36" t="n"/>
      <c r="AM10" s="36" t="n"/>
      <c r="AN10" s="36" t="n"/>
      <c r="AO10" s="36" t="n"/>
      <c r="AP10" s="36" t="n"/>
      <c r="AQ10" s="35" t="n"/>
      <c r="AR10" s="35" t="n"/>
      <c r="AS10" s="35" t="n"/>
      <c r="AT10" s="35" t="n"/>
      <c r="AU10" s="35" t="n"/>
      <c r="AV10" s="35" t="n"/>
      <c r="AW10" s="35" t="n"/>
      <c r="AX10" s="35" t="n"/>
      <c r="AY10" s="35" t="n"/>
      <c r="AZ10" s="35" t="n"/>
      <c r="BA10" s="35" t="n"/>
      <c r="BB10" s="35" t="n"/>
      <c r="BC10" s="35" t="n"/>
      <c r="BD10" s="35" t="n"/>
      <c r="BE10" s="35" t="n"/>
      <c r="BF10" s="35" t="n"/>
      <c r="BG10" s="35" t="n"/>
      <c r="BH10" s="35" t="n"/>
      <c r="BI10" s="35" t="n"/>
      <c r="BJ10" s="35" t="n"/>
      <c r="BK10" s="35" t="n"/>
      <c r="BL10" s="35" t="n"/>
      <c r="BM10" s="35" t="n"/>
      <c r="BN10" s="35" t="n"/>
      <c r="BO10" s="35" t="n"/>
      <c r="BP10" s="35" t="n"/>
      <c r="BQ10" s="35" t="n"/>
      <c r="BR10" s="35" t="n"/>
      <c r="BS10" s="35" t="n"/>
      <c r="BT10" s="35" t="n"/>
      <c r="BU10" s="35" t="n"/>
      <c r="BV10" s="35" t="n"/>
      <c r="BW10" s="35" t="n"/>
      <c r="BX10" s="35" t="n"/>
      <c r="BY10" s="35" t="n"/>
      <c r="BZ10" s="35" t="n"/>
      <c r="CA10" s="35" t="n"/>
      <c r="CB10" s="35" t="n"/>
      <c r="CC10" s="35" t="n"/>
      <c r="CD10" s="35" t="n"/>
    </row>
    <row r="11">
      <c r="A11" s="30" t="inlineStr">
        <is>
          <t>0.8</t>
        </is>
      </c>
      <c r="B11" s="31" t="inlineStr">
        <is>
          <t>DBIM logo lockup 3A/3B determination</t>
        </is>
      </c>
      <c r="C11" s="31" t="inlineStr">
        <is>
          <t>0 · Mandate and decisions</t>
        </is>
      </c>
      <c r="D11" s="32" t="n">
        <v>1.5</v>
      </c>
      <c r="E11" s="33" t="n">
        <v>6</v>
      </c>
      <c r="F11" s="33" t="n">
        <v>10</v>
      </c>
      <c r="G11" s="35" t="n"/>
      <c r="H11" s="35" t="n"/>
      <c r="I11" s="35" t="n"/>
      <c r="J11" s="35" t="n"/>
      <c r="K11" s="35" t="n"/>
      <c r="L11" s="34" t="n"/>
      <c r="M11" s="34" t="n"/>
      <c r="N11" s="34" t="n"/>
      <c r="O11" s="34" t="n"/>
      <c r="P11" s="34" t="n"/>
      <c r="Q11" s="35" t="n"/>
      <c r="R11" s="35" t="n"/>
      <c r="S11" s="35" t="n"/>
      <c r="T11" s="35" t="n"/>
      <c r="U11" s="35" t="n"/>
      <c r="V11" s="35" t="n"/>
      <c r="W11" s="35" t="n"/>
      <c r="X11" s="35" t="n"/>
      <c r="Y11" s="35" t="n"/>
      <c r="Z11" s="35" t="n"/>
      <c r="AA11" s="35" t="n"/>
      <c r="AB11" s="35" t="n"/>
      <c r="AC11" s="35" t="n"/>
      <c r="AD11" s="35" t="n"/>
      <c r="AE11" s="36" t="n"/>
      <c r="AF11" s="36" t="n"/>
      <c r="AG11" s="36" t="n"/>
      <c r="AH11" s="36" t="n"/>
      <c r="AI11" s="36" t="n"/>
      <c r="AJ11" s="36" t="n"/>
      <c r="AK11" s="36" t="n"/>
      <c r="AL11" s="36" t="n"/>
      <c r="AM11" s="36" t="n"/>
      <c r="AN11" s="36" t="n"/>
      <c r="AO11" s="36" t="n"/>
      <c r="AP11" s="36" t="n"/>
      <c r="AQ11" s="35" t="n"/>
      <c r="AR11" s="35" t="n"/>
      <c r="AS11" s="35" t="n"/>
      <c r="AT11" s="35" t="n"/>
      <c r="AU11" s="35" t="n"/>
      <c r="AV11" s="35" t="n"/>
      <c r="AW11" s="35" t="n"/>
      <c r="AX11" s="35" t="n"/>
      <c r="AY11" s="35" t="n"/>
      <c r="AZ11" s="35" t="n"/>
      <c r="BA11" s="35" t="n"/>
      <c r="BB11" s="35" t="n"/>
      <c r="BC11" s="35" t="n"/>
      <c r="BD11" s="35" t="n"/>
      <c r="BE11" s="35" t="n"/>
      <c r="BF11" s="35" t="n"/>
      <c r="BG11" s="35" t="n"/>
      <c r="BH11" s="35" t="n"/>
      <c r="BI11" s="35" t="n"/>
      <c r="BJ11" s="35" t="n"/>
      <c r="BK11" s="35" t="n"/>
      <c r="BL11" s="35" t="n"/>
      <c r="BM11" s="35" t="n"/>
      <c r="BN11" s="35" t="n"/>
      <c r="BO11" s="35" t="n"/>
      <c r="BP11" s="35" t="n"/>
      <c r="BQ11" s="35" t="n"/>
      <c r="BR11" s="35" t="n"/>
      <c r="BS11" s="35" t="n"/>
      <c r="BT11" s="35" t="n"/>
      <c r="BU11" s="35" t="n"/>
      <c r="BV11" s="35" t="n"/>
      <c r="BW11" s="35" t="n"/>
      <c r="BX11" s="35" t="n"/>
      <c r="BY11" s="35" t="n"/>
      <c r="BZ11" s="35" t="n"/>
      <c r="CA11" s="35" t="n"/>
      <c r="CB11" s="35" t="n"/>
      <c r="CC11" s="35" t="n"/>
      <c r="CD11" s="35" t="n"/>
    </row>
    <row r="12">
      <c r="A12" s="30" t="inlineStr">
        <is>
          <t>0.9</t>
        </is>
      </c>
      <c r="B12" s="31" t="inlineStr">
        <is>
          <t>Destination status-code behaviour proven; origin status layer designed</t>
        </is>
      </c>
      <c r="C12" s="31" t="inlineStr">
        <is>
          <t>0 · Mandate and decisions</t>
        </is>
      </c>
      <c r="D12" s="32" t="n">
        <v>6.2</v>
      </c>
      <c r="E12" s="33" t="n">
        <v>4</v>
      </c>
      <c r="F12" s="33" t="n">
        <v>9</v>
      </c>
      <c r="G12" s="35" t="n"/>
      <c r="H12" s="35" t="n"/>
      <c r="I12" s="35" t="n"/>
      <c r="J12" s="34" t="n"/>
      <c r="K12" s="34" t="n"/>
      <c r="L12" s="34" t="n"/>
      <c r="M12" s="34" t="n"/>
      <c r="N12" s="34" t="n"/>
      <c r="O12" s="34" t="n"/>
      <c r="P12" s="35" t="n"/>
      <c r="Q12" s="35" t="n"/>
      <c r="R12" s="35" t="n"/>
      <c r="S12" s="35" t="n"/>
      <c r="T12" s="35" t="n"/>
      <c r="U12" s="35" t="n"/>
      <c r="V12" s="35" t="n"/>
      <c r="W12" s="35" t="n"/>
      <c r="X12" s="35" t="n"/>
      <c r="Y12" s="35" t="n"/>
      <c r="Z12" s="35" t="n"/>
      <c r="AA12" s="35" t="n"/>
      <c r="AB12" s="35" t="n"/>
      <c r="AC12" s="35" t="n"/>
      <c r="AD12" s="35" t="n"/>
      <c r="AE12" s="36" t="n"/>
      <c r="AF12" s="36" t="n"/>
      <c r="AG12" s="36" t="n"/>
      <c r="AH12" s="36" t="n"/>
      <c r="AI12" s="36" t="n"/>
      <c r="AJ12" s="36" t="n"/>
      <c r="AK12" s="36" t="n"/>
      <c r="AL12" s="36" t="n"/>
      <c r="AM12" s="36" t="n"/>
      <c r="AN12" s="36" t="n"/>
      <c r="AO12" s="36" t="n"/>
      <c r="AP12" s="36" t="n"/>
      <c r="AQ12" s="35" t="n"/>
      <c r="AR12" s="35" t="n"/>
      <c r="AS12" s="35" t="n"/>
      <c r="AT12" s="35" t="n"/>
      <c r="AU12" s="35" t="n"/>
      <c r="AV12" s="35" t="n"/>
      <c r="AW12" s="35" t="n"/>
      <c r="AX12" s="35" t="n"/>
      <c r="AY12" s="35" t="n"/>
      <c r="AZ12" s="35" t="n"/>
      <c r="BA12" s="35" t="n"/>
      <c r="BB12" s="35" t="n"/>
      <c r="BC12" s="35" t="n"/>
      <c r="BD12" s="35" t="n"/>
      <c r="BE12" s="35" t="n"/>
      <c r="BF12" s="35" t="n"/>
      <c r="BG12" s="35" t="n"/>
      <c r="BH12" s="35" t="n"/>
      <c r="BI12" s="35" t="n"/>
      <c r="BJ12" s="35" t="n"/>
      <c r="BK12" s="35" t="n"/>
      <c r="BL12" s="35" t="n"/>
      <c r="BM12" s="35" t="n"/>
      <c r="BN12" s="35" t="n"/>
      <c r="BO12" s="35" t="n"/>
      <c r="BP12" s="35" t="n"/>
      <c r="BQ12" s="35" t="n"/>
      <c r="BR12" s="35" t="n"/>
      <c r="BS12" s="35" t="n"/>
      <c r="BT12" s="35" t="n"/>
      <c r="BU12" s="35" t="n"/>
      <c r="BV12" s="35" t="n"/>
      <c r="BW12" s="35" t="n"/>
      <c r="BX12" s="35" t="n"/>
      <c r="BY12" s="35" t="n"/>
      <c r="BZ12" s="35" t="n"/>
      <c r="CA12" s="35" t="n"/>
      <c r="CB12" s="35" t="n"/>
      <c r="CC12" s="35" t="n"/>
      <c r="CD12" s="35" t="n"/>
    </row>
    <row r="13">
      <c r="A13" s="30" t="inlineStr">
        <is>
          <t>1.1</t>
        </is>
      </c>
      <c r="B13" s="31" t="inlineStr">
        <is>
          <t>Real HTTP 404: error-document status, not a 302 to a 200 page</t>
        </is>
      </c>
      <c r="C13" s="31" t="inlineStr">
        <is>
          <t>1 · Emergency remediation</t>
        </is>
      </c>
      <c r="D13" s="32" t="n">
        <v>4.7</v>
      </c>
      <c r="E13" s="33" t="n">
        <v>3</v>
      </c>
      <c r="F13" s="33" t="n">
        <v>6</v>
      </c>
      <c r="G13" s="35" t="n"/>
      <c r="H13" s="35" t="n"/>
      <c r="I13" s="37" t="n"/>
      <c r="J13" s="37" t="n"/>
      <c r="K13" s="37" t="n"/>
      <c r="L13" s="37" t="n"/>
      <c r="M13" s="35" t="n"/>
      <c r="N13" s="35" t="n"/>
      <c r="O13" s="35" t="n"/>
      <c r="P13" s="35" t="n"/>
      <c r="Q13" s="35" t="n"/>
      <c r="R13" s="35" t="n"/>
      <c r="S13" s="35" t="n"/>
      <c r="T13" s="35" t="n"/>
      <c r="U13" s="35" t="n"/>
      <c r="V13" s="35" t="n"/>
      <c r="W13" s="35" t="n"/>
      <c r="X13" s="35" t="n"/>
      <c r="Y13" s="35" t="n"/>
      <c r="Z13" s="35" t="n"/>
      <c r="AA13" s="35" t="n"/>
      <c r="AB13" s="35" t="n"/>
      <c r="AC13" s="35" t="n"/>
      <c r="AD13" s="35" t="n"/>
      <c r="AE13" s="36" t="n"/>
      <c r="AF13" s="36" t="n"/>
      <c r="AG13" s="36" t="n"/>
      <c r="AH13" s="36" t="n"/>
      <c r="AI13" s="36" t="n"/>
      <c r="AJ13" s="36" t="n"/>
      <c r="AK13" s="36" t="n"/>
      <c r="AL13" s="36" t="n"/>
      <c r="AM13" s="36" t="n"/>
      <c r="AN13" s="36" t="n"/>
      <c r="AO13" s="36" t="n"/>
      <c r="AP13" s="36" t="n"/>
      <c r="AQ13" s="35" t="n"/>
      <c r="AR13" s="35" t="n"/>
      <c r="AS13" s="35" t="n"/>
      <c r="AT13" s="35" t="n"/>
      <c r="AU13" s="35" t="n"/>
      <c r="AV13" s="35" t="n"/>
      <c r="AW13" s="35" t="n"/>
      <c r="AX13" s="35" t="n"/>
      <c r="AY13" s="35" t="n"/>
      <c r="AZ13" s="35" t="n"/>
      <c r="BA13" s="35" t="n"/>
      <c r="BB13" s="35" t="n"/>
      <c r="BC13" s="35" t="n"/>
      <c r="BD13" s="35" t="n"/>
      <c r="BE13" s="35" t="n"/>
      <c r="BF13" s="35" t="n"/>
      <c r="BG13" s="35" t="n"/>
      <c r="BH13" s="35" t="n"/>
      <c r="BI13" s="35" t="n"/>
      <c r="BJ13" s="35" t="n"/>
      <c r="BK13" s="35" t="n"/>
      <c r="BL13" s="35" t="n"/>
      <c r="BM13" s="35" t="n"/>
      <c r="BN13" s="35" t="n"/>
      <c r="BO13" s="35" t="n"/>
      <c r="BP13" s="35" t="n"/>
      <c r="BQ13" s="35" t="n"/>
      <c r="BR13" s="35" t="n"/>
      <c r="BS13" s="35" t="n"/>
      <c r="BT13" s="35" t="n"/>
      <c r="BU13" s="35" t="n"/>
      <c r="BV13" s="35" t="n"/>
      <c r="BW13" s="35" t="n"/>
      <c r="BX13" s="35" t="n"/>
      <c r="BY13" s="35" t="n"/>
      <c r="BZ13" s="35" t="n"/>
      <c r="CA13" s="35" t="n"/>
      <c r="CB13" s="35" t="n"/>
      <c r="CC13" s="35" t="n"/>
      <c r="CD13" s="35" t="n"/>
    </row>
    <row r="14">
      <c r="A14" s="30" t="inlineStr">
        <is>
          <t>1.2</t>
        </is>
      </c>
      <c r="B14" s="31" t="inlineStr">
        <is>
          <t>Charset: header says iso-8859-1 over 389 Hindi pages; header wins</t>
        </is>
      </c>
      <c r="C14" s="31" t="inlineStr">
        <is>
          <t>1 · Emergency remediation</t>
        </is>
      </c>
      <c r="D14" s="32" t="n">
        <v>6.2</v>
      </c>
      <c r="E14" s="33" t="n">
        <v>3</v>
      </c>
      <c r="F14" s="33" t="n">
        <v>7</v>
      </c>
      <c r="G14" s="35" t="n"/>
      <c r="H14" s="35" t="n"/>
      <c r="I14" s="37" t="n"/>
      <c r="J14" s="37" t="n"/>
      <c r="K14" s="37" t="n"/>
      <c r="L14" s="37" t="n"/>
      <c r="M14" s="37" t="n"/>
      <c r="N14" s="35" t="n"/>
      <c r="O14" s="35" t="n"/>
      <c r="P14" s="35" t="n"/>
      <c r="Q14" s="35" t="n"/>
      <c r="R14" s="35" t="n"/>
      <c r="S14" s="35" t="n"/>
      <c r="T14" s="35" t="n"/>
      <c r="U14" s="35" t="n"/>
      <c r="V14" s="35" t="n"/>
      <c r="W14" s="35" t="n"/>
      <c r="X14" s="35" t="n"/>
      <c r="Y14" s="35" t="n"/>
      <c r="Z14" s="35" t="n"/>
      <c r="AA14" s="35" t="n"/>
      <c r="AB14" s="35" t="n"/>
      <c r="AC14" s="35" t="n"/>
      <c r="AD14" s="35" t="n"/>
      <c r="AE14" s="36" t="n"/>
      <c r="AF14" s="36" t="n"/>
      <c r="AG14" s="36" t="n"/>
      <c r="AH14" s="36" t="n"/>
      <c r="AI14" s="36" t="n"/>
      <c r="AJ14" s="36" t="n"/>
      <c r="AK14" s="36" t="n"/>
      <c r="AL14" s="36" t="n"/>
      <c r="AM14" s="36" t="n"/>
      <c r="AN14" s="36" t="n"/>
      <c r="AO14" s="36" t="n"/>
      <c r="AP14" s="36" t="n"/>
      <c r="AQ14" s="35" t="n"/>
      <c r="AR14" s="35" t="n"/>
      <c r="AS14" s="35" t="n"/>
      <c r="AT14" s="35" t="n"/>
      <c r="AU14" s="35" t="n"/>
      <c r="AV14" s="35" t="n"/>
      <c r="AW14" s="35" t="n"/>
      <c r="AX14" s="35" t="n"/>
      <c r="AY14" s="35" t="n"/>
      <c r="AZ14" s="35" t="n"/>
      <c r="BA14" s="35" t="n"/>
      <c r="BB14" s="35" t="n"/>
      <c r="BC14" s="35" t="n"/>
      <c r="BD14" s="35" t="n"/>
      <c r="BE14" s="35" t="n"/>
      <c r="BF14" s="35" t="n"/>
      <c r="BG14" s="35" t="n"/>
      <c r="BH14" s="35" t="n"/>
      <c r="BI14" s="35" t="n"/>
      <c r="BJ14" s="35" t="n"/>
      <c r="BK14" s="35" t="n"/>
      <c r="BL14" s="35" t="n"/>
      <c r="BM14" s="35" t="n"/>
      <c r="BN14" s="35" t="n"/>
      <c r="BO14" s="35" t="n"/>
      <c r="BP14" s="35" t="n"/>
      <c r="BQ14" s="35" t="n"/>
      <c r="BR14" s="35" t="n"/>
      <c r="BS14" s="35" t="n"/>
      <c r="BT14" s="35" t="n"/>
      <c r="BU14" s="35" t="n"/>
      <c r="BV14" s="35" t="n"/>
      <c r="BW14" s="35" t="n"/>
      <c r="BX14" s="35" t="n"/>
      <c r="BY14" s="35" t="n"/>
      <c r="BZ14" s="35" t="n"/>
      <c r="CA14" s="35" t="n"/>
      <c r="CB14" s="35" t="n"/>
      <c r="CC14" s="35" t="n"/>
      <c r="CD14" s="35" t="n"/>
    </row>
    <row r="15">
      <c r="A15" s="30" t="inlineStr">
        <is>
          <t>1.4</t>
        </is>
      </c>
      <c r="B15" s="31" t="inlineStr">
        <is>
          <t>GIGW policy pages and portal links (DBIM mandates no india.gov.in link)</t>
        </is>
      </c>
      <c r="C15" s="31" t="inlineStr">
        <is>
          <t>1 · Emergency remediation</t>
        </is>
      </c>
      <c r="D15" s="32" t="n">
        <v>3</v>
      </c>
      <c r="E15" s="33" t="n">
        <v>5</v>
      </c>
      <c r="F15" s="33" t="n">
        <v>8</v>
      </c>
      <c r="G15" s="35" t="n"/>
      <c r="H15" s="35" t="n"/>
      <c r="I15" s="35" t="n"/>
      <c r="J15" s="35" t="n"/>
      <c r="K15" s="37" t="n"/>
      <c r="L15" s="37" t="n"/>
      <c r="M15" s="37" t="n"/>
      <c r="N15" s="37" t="n"/>
      <c r="O15" s="35" t="n"/>
      <c r="P15" s="35" t="n"/>
      <c r="Q15" s="35" t="n"/>
      <c r="R15" s="35" t="n"/>
      <c r="S15" s="35" t="n"/>
      <c r="T15" s="35" t="n"/>
      <c r="U15" s="35" t="n"/>
      <c r="V15" s="35" t="n"/>
      <c r="W15" s="35" t="n"/>
      <c r="X15" s="35" t="n"/>
      <c r="Y15" s="35" t="n"/>
      <c r="Z15" s="35" t="n"/>
      <c r="AA15" s="35" t="n"/>
      <c r="AB15" s="35" t="n"/>
      <c r="AC15" s="35" t="n"/>
      <c r="AD15" s="35" t="n"/>
      <c r="AE15" s="36" t="n"/>
      <c r="AF15" s="36" t="n"/>
      <c r="AG15" s="36" t="n"/>
      <c r="AH15" s="36" t="n"/>
      <c r="AI15" s="36" t="n"/>
      <c r="AJ15" s="36" t="n"/>
      <c r="AK15" s="36" t="n"/>
      <c r="AL15" s="36" t="n"/>
      <c r="AM15" s="36" t="n"/>
      <c r="AN15" s="36" t="n"/>
      <c r="AO15" s="36" t="n"/>
      <c r="AP15" s="36" t="n"/>
      <c r="AQ15" s="35" t="n"/>
      <c r="AR15" s="35" t="n"/>
      <c r="AS15" s="35" t="n"/>
      <c r="AT15" s="35" t="n"/>
      <c r="AU15" s="35" t="n"/>
      <c r="AV15" s="35" t="n"/>
      <c r="AW15" s="35" t="n"/>
      <c r="AX15" s="35" t="n"/>
      <c r="AY15" s="35" t="n"/>
      <c r="AZ15" s="35" t="n"/>
      <c r="BA15" s="35" t="n"/>
      <c r="BB15" s="35" t="n"/>
      <c r="BC15" s="35" t="n"/>
      <c r="BD15" s="35" t="n"/>
      <c r="BE15" s="35" t="n"/>
      <c r="BF15" s="35" t="n"/>
      <c r="BG15" s="35" t="n"/>
      <c r="BH15" s="35" t="n"/>
      <c r="BI15" s="35" t="n"/>
      <c r="BJ15" s="35" t="n"/>
      <c r="BK15" s="35" t="n"/>
      <c r="BL15" s="35" t="n"/>
      <c r="BM15" s="35" t="n"/>
      <c r="BN15" s="35" t="n"/>
      <c r="BO15" s="35" t="n"/>
      <c r="BP15" s="35" t="n"/>
      <c r="BQ15" s="35" t="n"/>
      <c r="BR15" s="35" t="n"/>
      <c r="BS15" s="35" t="n"/>
      <c r="BT15" s="35" t="n"/>
      <c r="BU15" s="35" t="n"/>
      <c r="BV15" s="35" t="n"/>
      <c r="BW15" s="35" t="n"/>
      <c r="BX15" s="35" t="n"/>
      <c r="BY15" s="35" t="n"/>
      <c r="BZ15" s="35" t="n"/>
      <c r="CA15" s="35" t="n"/>
      <c r="CB15" s="35" t="n"/>
      <c r="CC15" s="35" t="n"/>
      <c r="CD15" s="35" t="n"/>
    </row>
    <row r="16">
      <c r="A16" s="30" t="inlineStr">
        <is>
          <t>1.6</t>
        </is>
      </c>
      <c r="B16" s="31" t="inlineStr">
        <is>
          <t>robots.txt and a stopgap sitemap</t>
        </is>
      </c>
      <c r="C16" s="31" t="inlineStr">
        <is>
          <t>1 · Emergency remediation</t>
        </is>
      </c>
      <c r="D16" s="32" t="n">
        <v>1.5</v>
      </c>
      <c r="E16" s="33" t="n">
        <v>6</v>
      </c>
      <c r="F16" s="33" t="n">
        <v>7</v>
      </c>
      <c r="G16" s="35" t="n"/>
      <c r="H16" s="35" t="n"/>
      <c r="I16" s="35" t="n"/>
      <c r="J16" s="35" t="n"/>
      <c r="K16" s="35" t="n"/>
      <c r="L16" s="37" t="n"/>
      <c r="M16" s="37" t="n"/>
      <c r="N16" s="35" t="n"/>
      <c r="O16" s="35" t="n"/>
      <c r="P16" s="35" t="n"/>
      <c r="Q16" s="35" t="n"/>
      <c r="R16" s="35" t="n"/>
      <c r="S16" s="35" t="n"/>
      <c r="T16" s="35" t="n"/>
      <c r="U16" s="35" t="n"/>
      <c r="V16" s="35" t="n"/>
      <c r="W16" s="35" t="n"/>
      <c r="X16" s="35" t="n"/>
      <c r="Y16" s="35" t="n"/>
      <c r="Z16" s="35" t="n"/>
      <c r="AA16" s="35" t="n"/>
      <c r="AB16" s="35" t="n"/>
      <c r="AC16" s="35" t="n"/>
      <c r="AD16" s="35" t="n"/>
      <c r="AE16" s="36" t="n"/>
      <c r="AF16" s="36" t="n"/>
      <c r="AG16" s="36" t="n"/>
      <c r="AH16" s="36" t="n"/>
      <c r="AI16" s="36" t="n"/>
      <c r="AJ16" s="36" t="n"/>
      <c r="AK16" s="36" t="n"/>
      <c r="AL16" s="36" t="n"/>
      <c r="AM16" s="36" t="n"/>
      <c r="AN16" s="36" t="n"/>
      <c r="AO16" s="36" t="n"/>
      <c r="AP16" s="36" t="n"/>
      <c r="AQ16" s="35" t="n"/>
      <c r="AR16" s="35" t="n"/>
      <c r="AS16" s="35" t="n"/>
      <c r="AT16" s="35" t="n"/>
      <c r="AU16" s="35" t="n"/>
      <c r="AV16" s="35" t="n"/>
      <c r="AW16" s="35" t="n"/>
      <c r="AX16" s="35" t="n"/>
      <c r="AY16" s="35" t="n"/>
      <c r="AZ16" s="35" t="n"/>
      <c r="BA16" s="35" t="n"/>
      <c r="BB16" s="35" t="n"/>
      <c r="BC16" s="35" t="n"/>
      <c r="BD16" s="35" t="n"/>
      <c r="BE16" s="35" t="n"/>
      <c r="BF16" s="35" t="n"/>
      <c r="BG16" s="35" t="n"/>
      <c r="BH16" s="35" t="n"/>
      <c r="BI16" s="35" t="n"/>
      <c r="BJ16" s="35" t="n"/>
      <c r="BK16" s="35" t="n"/>
      <c r="BL16" s="35" t="n"/>
      <c r="BM16" s="35" t="n"/>
      <c r="BN16" s="35" t="n"/>
      <c r="BO16" s="35" t="n"/>
      <c r="BP16" s="35" t="n"/>
      <c r="BQ16" s="35" t="n"/>
      <c r="BR16" s="35" t="n"/>
      <c r="BS16" s="35" t="n"/>
      <c r="BT16" s="35" t="n"/>
      <c r="BU16" s="35" t="n"/>
      <c r="BV16" s="35" t="n"/>
      <c r="BW16" s="35" t="n"/>
      <c r="BX16" s="35" t="n"/>
      <c r="BY16" s="35" t="n"/>
      <c r="BZ16" s="35" t="n"/>
      <c r="CA16" s="35" t="n"/>
      <c r="CB16" s="35" t="n"/>
      <c r="CC16" s="35" t="n"/>
      <c r="CD16" s="35" t="n"/>
    </row>
    <row r="17">
      <c r="A17" s="30" t="inlineStr">
        <is>
          <t>1.7</t>
        </is>
      </c>
      <c r="B17" s="31" t="inlineStr">
        <is>
          <t>CSP hardening on the live site</t>
        </is>
      </c>
      <c r="C17" s="31" t="inlineStr">
        <is>
          <t>1 · Emergency remediation</t>
        </is>
      </c>
      <c r="D17" s="32" t="n">
        <v>6.4</v>
      </c>
      <c r="E17" s="33" t="n">
        <v>4</v>
      </c>
      <c r="F17" s="33" t="n">
        <v>8</v>
      </c>
      <c r="G17" s="35" t="n"/>
      <c r="H17" s="35" t="n"/>
      <c r="I17" s="35" t="n"/>
      <c r="J17" s="37" t="n"/>
      <c r="K17" s="37" t="n"/>
      <c r="L17" s="37" t="n"/>
      <c r="M17" s="37" t="n"/>
      <c r="N17" s="37" t="n"/>
      <c r="O17" s="35" t="n"/>
      <c r="P17" s="35" t="n"/>
      <c r="Q17" s="35" t="n"/>
      <c r="R17" s="35" t="n"/>
      <c r="S17" s="35" t="n"/>
      <c r="T17" s="35" t="n"/>
      <c r="U17" s="35" t="n"/>
      <c r="V17" s="35" t="n"/>
      <c r="W17" s="35" t="n"/>
      <c r="X17" s="35" t="n"/>
      <c r="Y17" s="35" t="n"/>
      <c r="Z17" s="35" t="n"/>
      <c r="AA17" s="35" t="n"/>
      <c r="AB17" s="35" t="n"/>
      <c r="AC17" s="35" t="n"/>
      <c r="AD17" s="35" t="n"/>
      <c r="AE17" s="36" t="n"/>
      <c r="AF17" s="36" t="n"/>
      <c r="AG17" s="36" t="n"/>
      <c r="AH17" s="36" t="n"/>
      <c r="AI17" s="36" t="n"/>
      <c r="AJ17" s="36" t="n"/>
      <c r="AK17" s="36" t="n"/>
      <c r="AL17" s="36" t="n"/>
      <c r="AM17" s="36" t="n"/>
      <c r="AN17" s="36" t="n"/>
      <c r="AO17" s="36" t="n"/>
      <c r="AP17" s="36" t="n"/>
      <c r="AQ17" s="35" t="n"/>
      <c r="AR17" s="35" t="n"/>
      <c r="AS17" s="35" t="n"/>
      <c r="AT17" s="35" t="n"/>
      <c r="AU17" s="35" t="n"/>
      <c r="AV17" s="35" t="n"/>
      <c r="AW17" s="35" t="n"/>
      <c r="AX17" s="35" t="n"/>
      <c r="AY17" s="35" t="n"/>
      <c r="AZ17" s="35" t="n"/>
      <c r="BA17" s="35" t="n"/>
      <c r="BB17" s="35" t="n"/>
      <c r="BC17" s="35" t="n"/>
      <c r="BD17" s="35" t="n"/>
      <c r="BE17" s="35" t="n"/>
      <c r="BF17" s="35" t="n"/>
      <c r="BG17" s="35" t="n"/>
      <c r="BH17" s="35" t="n"/>
      <c r="BI17" s="35" t="n"/>
      <c r="BJ17" s="35" t="n"/>
      <c r="BK17" s="35" t="n"/>
      <c r="BL17" s="35" t="n"/>
      <c r="BM17" s="35" t="n"/>
      <c r="BN17" s="35" t="n"/>
      <c r="BO17" s="35" t="n"/>
      <c r="BP17" s="35" t="n"/>
      <c r="BQ17" s="35" t="n"/>
      <c r="BR17" s="35" t="n"/>
      <c r="BS17" s="35" t="n"/>
      <c r="BT17" s="35" t="n"/>
      <c r="BU17" s="35" t="n"/>
      <c r="BV17" s="35" t="n"/>
      <c r="BW17" s="35" t="n"/>
      <c r="BX17" s="35" t="n"/>
      <c r="BY17" s="35" t="n"/>
      <c r="BZ17" s="35" t="n"/>
      <c r="CA17" s="35" t="n"/>
      <c r="CB17" s="35" t="n"/>
      <c r="CC17" s="35" t="n"/>
      <c r="CD17" s="35" t="n"/>
    </row>
    <row r="18">
      <c r="A18" s="30" t="inlineStr">
        <is>
          <t>1.8</t>
        </is>
      </c>
      <c r="B18" s="31" t="inlineStr">
        <is>
          <t>lang="hi" across 389 Hindi pages; close the joomla.xml version disclosure</t>
        </is>
      </c>
      <c r="C18" s="31" t="inlineStr">
        <is>
          <t>1 · Emergency remediation</t>
        </is>
      </c>
      <c r="D18" s="32" t="n">
        <v>3.2</v>
      </c>
      <c r="E18" s="33" t="n">
        <v>5</v>
      </c>
      <c r="F18" s="33" t="n">
        <v>8</v>
      </c>
      <c r="G18" s="35" t="n"/>
      <c r="H18" s="35" t="n"/>
      <c r="I18" s="35" t="n"/>
      <c r="J18" s="35" t="n"/>
      <c r="K18" s="37" t="n"/>
      <c r="L18" s="37" t="n"/>
      <c r="M18" s="37" t="n"/>
      <c r="N18" s="37" t="n"/>
      <c r="O18" s="35" t="n"/>
      <c r="P18" s="35" t="n"/>
      <c r="Q18" s="35" t="n"/>
      <c r="R18" s="35" t="n"/>
      <c r="S18" s="35" t="n"/>
      <c r="T18" s="35" t="n"/>
      <c r="U18" s="35" t="n"/>
      <c r="V18" s="35" t="n"/>
      <c r="W18" s="35" t="n"/>
      <c r="X18" s="35" t="n"/>
      <c r="Y18" s="35" t="n"/>
      <c r="Z18" s="35" t="n"/>
      <c r="AA18" s="35" t="n"/>
      <c r="AB18" s="35" t="n"/>
      <c r="AC18" s="35" t="n"/>
      <c r="AD18" s="35" t="n"/>
      <c r="AE18" s="36" t="n"/>
      <c r="AF18" s="36" t="n"/>
      <c r="AG18" s="36" t="n"/>
      <c r="AH18" s="36" t="n"/>
      <c r="AI18" s="36" t="n"/>
      <c r="AJ18" s="36" t="n"/>
      <c r="AK18" s="36" t="n"/>
      <c r="AL18" s="36" t="n"/>
      <c r="AM18" s="36" t="n"/>
      <c r="AN18" s="36" t="n"/>
      <c r="AO18" s="36" t="n"/>
      <c r="AP18" s="36" t="n"/>
      <c r="AQ18" s="35" t="n"/>
      <c r="AR18" s="35" t="n"/>
      <c r="AS18" s="35" t="n"/>
      <c r="AT18" s="35" t="n"/>
      <c r="AU18" s="35" t="n"/>
      <c r="AV18" s="35" t="n"/>
      <c r="AW18" s="35" t="n"/>
      <c r="AX18" s="35" t="n"/>
      <c r="AY18" s="35" t="n"/>
      <c r="AZ18" s="35" t="n"/>
      <c r="BA18" s="35" t="n"/>
      <c r="BB18" s="35" t="n"/>
      <c r="BC18" s="35" t="n"/>
      <c r="BD18" s="35" t="n"/>
      <c r="BE18" s="35" t="n"/>
      <c r="BF18" s="35" t="n"/>
      <c r="BG18" s="35" t="n"/>
      <c r="BH18" s="35" t="n"/>
      <c r="BI18" s="35" t="n"/>
      <c r="BJ18" s="35" t="n"/>
      <c r="BK18" s="35" t="n"/>
      <c r="BL18" s="35" t="n"/>
      <c r="BM18" s="35" t="n"/>
      <c r="BN18" s="35" t="n"/>
      <c r="BO18" s="35" t="n"/>
      <c r="BP18" s="35" t="n"/>
      <c r="BQ18" s="35" t="n"/>
      <c r="BR18" s="35" t="n"/>
      <c r="BS18" s="35" t="n"/>
      <c r="BT18" s="35" t="n"/>
      <c r="BU18" s="35" t="n"/>
      <c r="BV18" s="35" t="n"/>
      <c r="BW18" s="35" t="n"/>
      <c r="BX18" s="35" t="n"/>
      <c r="BY18" s="35" t="n"/>
      <c r="BZ18" s="35" t="n"/>
      <c r="CA18" s="35" t="n"/>
      <c r="CB18" s="35" t="n"/>
      <c r="CC18" s="35" t="n"/>
      <c r="CD18" s="35" t="n"/>
    </row>
    <row r="19">
      <c r="A19" s="30" t="inlineStr">
        <is>
          <t>2.1</t>
        </is>
      </c>
      <c r="B19" s="31" t="inlineStr">
        <is>
          <t>Joomla database extraction and reconciliation</t>
        </is>
      </c>
      <c r="C19" s="31" t="inlineStr">
        <is>
          <t>2 · Inventory and redirect map</t>
        </is>
      </c>
      <c r="D19" s="32" t="n">
        <v>6.4</v>
      </c>
      <c r="E19" s="33" t="n">
        <v>3</v>
      </c>
      <c r="F19" s="33" t="n">
        <v>7</v>
      </c>
      <c r="G19" s="35" t="n"/>
      <c r="H19" s="35" t="n"/>
      <c r="I19" s="38" t="n"/>
      <c r="J19" s="38" t="n"/>
      <c r="K19" s="38" t="n"/>
      <c r="L19" s="38" t="n"/>
      <c r="M19" s="38" t="n"/>
      <c r="N19" s="35" t="n"/>
      <c r="O19" s="35" t="n"/>
      <c r="P19" s="35" t="n"/>
      <c r="Q19" s="35" t="n"/>
      <c r="R19" s="35" t="n"/>
      <c r="S19" s="35" t="n"/>
      <c r="T19" s="35" t="n"/>
      <c r="U19" s="35" t="n"/>
      <c r="V19" s="35" t="n"/>
      <c r="W19" s="35" t="n"/>
      <c r="X19" s="35" t="n"/>
      <c r="Y19" s="35" t="n"/>
      <c r="Z19" s="35" t="n"/>
      <c r="AA19" s="35" t="n"/>
      <c r="AB19" s="35" t="n"/>
      <c r="AC19" s="35" t="n"/>
      <c r="AD19" s="35" t="n"/>
      <c r="AE19" s="36" t="n"/>
      <c r="AF19" s="36" t="n"/>
      <c r="AG19" s="36" t="n"/>
      <c r="AH19" s="36" t="n"/>
      <c r="AI19" s="36" t="n"/>
      <c r="AJ19" s="36" t="n"/>
      <c r="AK19" s="36" t="n"/>
      <c r="AL19" s="36" t="n"/>
      <c r="AM19" s="36" t="n"/>
      <c r="AN19" s="36" t="n"/>
      <c r="AO19" s="36" t="n"/>
      <c r="AP19" s="36" t="n"/>
      <c r="AQ19" s="35" t="n"/>
      <c r="AR19" s="35" t="n"/>
      <c r="AS19" s="35" t="n"/>
      <c r="AT19" s="35" t="n"/>
      <c r="AU19" s="35" t="n"/>
      <c r="AV19" s="35" t="n"/>
      <c r="AW19" s="35" t="n"/>
      <c r="AX19" s="35" t="n"/>
      <c r="AY19" s="35" t="n"/>
      <c r="AZ19" s="35" t="n"/>
      <c r="BA19" s="35" t="n"/>
      <c r="BB19" s="35" t="n"/>
      <c r="BC19" s="35" t="n"/>
      <c r="BD19" s="35" t="n"/>
      <c r="BE19" s="35" t="n"/>
      <c r="BF19" s="35" t="n"/>
      <c r="BG19" s="35" t="n"/>
      <c r="BH19" s="35" t="n"/>
      <c r="BI19" s="35" t="n"/>
      <c r="BJ19" s="35" t="n"/>
      <c r="BK19" s="35" t="n"/>
      <c r="BL19" s="35" t="n"/>
      <c r="BM19" s="35" t="n"/>
      <c r="BN19" s="35" t="n"/>
      <c r="BO19" s="35" t="n"/>
      <c r="BP19" s="35" t="n"/>
      <c r="BQ19" s="35" t="n"/>
      <c r="BR19" s="35" t="n"/>
      <c r="BS19" s="35" t="n"/>
      <c r="BT19" s="35" t="n"/>
      <c r="BU19" s="35" t="n"/>
      <c r="BV19" s="35" t="n"/>
      <c r="BW19" s="35" t="n"/>
      <c r="BX19" s="35" t="n"/>
      <c r="BY19" s="35" t="n"/>
      <c r="BZ19" s="35" t="n"/>
      <c r="CA19" s="35" t="n"/>
      <c r="CB19" s="35" t="n"/>
      <c r="CC19" s="35" t="n"/>
      <c r="CD19" s="35" t="n"/>
    </row>
    <row r="20">
      <c r="A20" s="30" t="inlineStr">
        <is>
          <t>2.2</t>
        </is>
      </c>
      <c r="B20" s="31" t="inlineStr">
        <is>
          <t>Live crawl with the two-signal validator</t>
        </is>
      </c>
      <c r="C20" s="31" t="inlineStr">
        <is>
          <t>2 · Inventory and redirect map</t>
        </is>
      </c>
      <c r="D20" s="32" t="n">
        <v>7.5</v>
      </c>
      <c r="E20" s="33" t="n">
        <v>3</v>
      </c>
      <c r="F20" s="33" t="n">
        <v>6</v>
      </c>
      <c r="G20" s="35" t="n"/>
      <c r="H20" s="35" t="n"/>
      <c r="I20" s="38" t="n"/>
      <c r="J20" s="38" t="n"/>
      <c r="K20" s="38" t="n"/>
      <c r="L20" s="38" t="n"/>
      <c r="M20" s="35" t="n"/>
      <c r="N20" s="35" t="n"/>
      <c r="O20" s="35" t="n"/>
      <c r="P20" s="35" t="n"/>
      <c r="Q20" s="35" t="n"/>
      <c r="R20" s="35" t="n"/>
      <c r="S20" s="35" t="n"/>
      <c r="T20" s="35" t="n"/>
      <c r="U20" s="35" t="n"/>
      <c r="V20" s="35" t="n"/>
      <c r="W20" s="35" t="n"/>
      <c r="X20" s="35" t="n"/>
      <c r="Y20" s="35" t="n"/>
      <c r="Z20" s="35" t="n"/>
      <c r="AA20" s="35" t="n"/>
      <c r="AB20" s="35" t="n"/>
      <c r="AC20" s="35" t="n"/>
      <c r="AD20" s="35" t="n"/>
      <c r="AE20" s="36" t="n"/>
      <c r="AF20" s="36" t="n"/>
      <c r="AG20" s="36" t="n"/>
      <c r="AH20" s="36" t="n"/>
      <c r="AI20" s="36" t="n"/>
      <c r="AJ20" s="36" t="n"/>
      <c r="AK20" s="36" t="n"/>
      <c r="AL20" s="36" t="n"/>
      <c r="AM20" s="36" t="n"/>
      <c r="AN20" s="36" t="n"/>
      <c r="AO20" s="36" t="n"/>
      <c r="AP20" s="36" t="n"/>
      <c r="AQ20" s="35" t="n"/>
      <c r="AR20" s="35" t="n"/>
      <c r="AS20" s="35" t="n"/>
      <c r="AT20" s="35" t="n"/>
      <c r="AU20" s="35" t="n"/>
      <c r="AV20" s="35" t="n"/>
      <c r="AW20" s="35" t="n"/>
      <c r="AX20" s="35" t="n"/>
      <c r="AY20" s="35" t="n"/>
      <c r="AZ20" s="35" t="n"/>
      <c r="BA20" s="35" t="n"/>
      <c r="BB20" s="35" t="n"/>
      <c r="BC20" s="35" t="n"/>
      <c r="BD20" s="35" t="n"/>
      <c r="BE20" s="35" t="n"/>
      <c r="BF20" s="35" t="n"/>
      <c r="BG20" s="35" t="n"/>
      <c r="BH20" s="35" t="n"/>
      <c r="BI20" s="35" t="n"/>
      <c r="BJ20" s="35" t="n"/>
      <c r="BK20" s="35" t="n"/>
      <c r="BL20" s="35" t="n"/>
      <c r="BM20" s="35" t="n"/>
      <c r="BN20" s="35" t="n"/>
      <c r="BO20" s="35" t="n"/>
      <c r="BP20" s="35" t="n"/>
      <c r="BQ20" s="35" t="n"/>
      <c r="BR20" s="35" t="n"/>
      <c r="BS20" s="35" t="n"/>
      <c r="BT20" s="35" t="n"/>
      <c r="BU20" s="35" t="n"/>
      <c r="BV20" s="35" t="n"/>
      <c r="BW20" s="35" t="n"/>
      <c r="BX20" s="35" t="n"/>
      <c r="BY20" s="35" t="n"/>
      <c r="BZ20" s="35" t="n"/>
      <c r="CA20" s="35" t="n"/>
      <c r="CB20" s="35" t="n"/>
      <c r="CC20" s="35" t="n"/>
      <c r="CD20" s="35" t="n"/>
    </row>
    <row r="21">
      <c r="A21" s="30" t="inlineStr">
        <is>
          <t>2.3</t>
        </is>
      </c>
      <c r="B21" s="31" t="inlineStr">
        <is>
          <t>Wayback / CommonCrawl orphan recovery</t>
        </is>
      </c>
      <c r="C21" s="31" t="inlineStr">
        <is>
          <t>2 · Inventory and redirect map</t>
        </is>
      </c>
      <c r="D21" s="32" t="n">
        <v>4.8</v>
      </c>
      <c r="E21" s="33" t="n">
        <v>5</v>
      </c>
      <c r="F21" s="33" t="n">
        <v>8</v>
      </c>
      <c r="G21" s="35" t="n"/>
      <c r="H21" s="35" t="n"/>
      <c r="I21" s="35" t="n"/>
      <c r="J21" s="35" t="n"/>
      <c r="K21" s="38" t="n"/>
      <c r="L21" s="38" t="n"/>
      <c r="M21" s="38" t="n"/>
      <c r="N21" s="38" t="n"/>
      <c r="O21" s="35" t="n"/>
      <c r="P21" s="35" t="n"/>
      <c r="Q21" s="35" t="n"/>
      <c r="R21" s="35" t="n"/>
      <c r="S21" s="35" t="n"/>
      <c r="T21" s="35" t="n"/>
      <c r="U21" s="35" t="n"/>
      <c r="V21" s="35" t="n"/>
      <c r="W21" s="35" t="n"/>
      <c r="X21" s="35" t="n"/>
      <c r="Y21" s="35" t="n"/>
      <c r="Z21" s="35" t="n"/>
      <c r="AA21" s="35" t="n"/>
      <c r="AB21" s="35" t="n"/>
      <c r="AC21" s="35" t="n"/>
      <c r="AD21" s="35" t="n"/>
      <c r="AE21" s="36" t="n"/>
      <c r="AF21" s="36" t="n"/>
      <c r="AG21" s="36" t="n"/>
      <c r="AH21" s="36" t="n"/>
      <c r="AI21" s="36" t="n"/>
      <c r="AJ21" s="36" t="n"/>
      <c r="AK21" s="36" t="n"/>
      <c r="AL21" s="36" t="n"/>
      <c r="AM21" s="36" t="n"/>
      <c r="AN21" s="36" t="n"/>
      <c r="AO21" s="36" t="n"/>
      <c r="AP21" s="36" t="n"/>
      <c r="AQ21" s="35" t="n"/>
      <c r="AR21" s="35" t="n"/>
      <c r="AS21" s="35" t="n"/>
      <c r="AT21" s="35" t="n"/>
      <c r="AU21" s="35" t="n"/>
      <c r="AV21" s="35" t="n"/>
      <c r="AW21" s="35" t="n"/>
      <c r="AX21" s="35" t="n"/>
      <c r="AY21" s="35" t="n"/>
      <c r="AZ21" s="35" t="n"/>
      <c r="BA21" s="35" t="n"/>
      <c r="BB21" s="35" t="n"/>
      <c r="BC21" s="35" t="n"/>
      <c r="BD21" s="35" t="n"/>
      <c r="BE21" s="35" t="n"/>
      <c r="BF21" s="35" t="n"/>
      <c r="BG21" s="35" t="n"/>
      <c r="BH21" s="35" t="n"/>
      <c r="BI21" s="35" t="n"/>
      <c r="BJ21" s="35" t="n"/>
      <c r="BK21" s="35" t="n"/>
      <c r="BL21" s="35" t="n"/>
      <c r="BM21" s="35" t="n"/>
      <c r="BN21" s="35" t="n"/>
      <c r="BO21" s="35" t="n"/>
      <c r="BP21" s="35" t="n"/>
      <c r="BQ21" s="35" t="n"/>
      <c r="BR21" s="35" t="n"/>
      <c r="BS21" s="35" t="n"/>
      <c r="BT21" s="35" t="n"/>
      <c r="BU21" s="35" t="n"/>
      <c r="BV21" s="35" t="n"/>
      <c r="BW21" s="35" t="n"/>
      <c r="BX21" s="35" t="n"/>
      <c r="BY21" s="35" t="n"/>
      <c r="BZ21" s="35" t="n"/>
      <c r="CA21" s="35" t="n"/>
      <c r="CB21" s="35" t="n"/>
      <c r="CC21" s="35" t="n"/>
      <c r="CD21" s="35" t="n"/>
    </row>
    <row r="22">
      <c r="A22" s="30" t="inlineStr">
        <is>
          <t>2.4</t>
        </is>
      </c>
      <c r="B22" s="31" t="inlineStr">
        <is>
          <t>Search Console traffic overlay</t>
        </is>
      </c>
      <c r="C22" s="31" t="inlineStr">
        <is>
          <t>2 · Inventory and redirect map</t>
        </is>
      </c>
      <c r="D22" s="32" t="n">
        <v>3</v>
      </c>
      <c r="E22" s="33" t="n">
        <v>6</v>
      </c>
      <c r="F22" s="33" t="n">
        <v>9</v>
      </c>
      <c r="G22" s="35" t="n"/>
      <c r="H22" s="35" t="n"/>
      <c r="I22" s="35" t="n"/>
      <c r="J22" s="35" t="n"/>
      <c r="K22" s="35" t="n"/>
      <c r="L22" s="38" t="n"/>
      <c r="M22" s="38" t="n"/>
      <c r="N22" s="38" t="n"/>
      <c r="O22" s="38" t="n"/>
      <c r="P22" s="35" t="n"/>
      <c r="Q22" s="35" t="n"/>
      <c r="R22" s="35" t="n"/>
      <c r="S22" s="35" t="n"/>
      <c r="T22" s="35" t="n"/>
      <c r="U22" s="35" t="n"/>
      <c r="V22" s="35" t="n"/>
      <c r="W22" s="35" t="n"/>
      <c r="X22" s="35" t="n"/>
      <c r="Y22" s="35" t="n"/>
      <c r="Z22" s="35" t="n"/>
      <c r="AA22" s="35" t="n"/>
      <c r="AB22" s="35" t="n"/>
      <c r="AC22" s="35" t="n"/>
      <c r="AD22" s="35" t="n"/>
      <c r="AE22" s="36" t="n"/>
      <c r="AF22" s="36" t="n"/>
      <c r="AG22" s="36" t="n"/>
      <c r="AH22" s="36" t="n"/>
      <c r="AI22" s="36" t="n"/>
      <c r="AJ22" s="36" t="n"/>
      <c r="AK22" s="36" t="n"/>
      <c r="AL22" s="36" t="n"/>
      <c r="AM22" s="36" t="n"/>
      <c r="AN22" s="36" t="n"/>
      <c r="AO22" s="36" t="n"/>
      <c r="AP22" s="36" t="n"/>
      <c r="AQ22" s="35" t="n"/>
      <c r="AR22" s="35" t="n"/>
      <c r="AS22" s="35" t="n"/>
      <c r="AT22" s="35" t="n"/>
      <c r="AU22" s="35" t="n"/>
      <c r="AV22" s="35" t="n"/>
      <c r="AW22" s="35" t="n"/>
      <c r="AX22" s="35" t="n"/>
      <c r="AY22" s="35" t="n"/>
      <c r="AZ22" s="35" t="n"/>
      <c r="BA22" s="35" t="n"/>
      <c r="BB22" s="35" t="n"/>
      <c r="BC22" s="35" t="n"/>
      <c r="BD22" s="35" t="n"/>
      <c r="BE22" s="35" t="n"/>
      <c r="BF22" s="35" t="n"/>
      <c r="BG22" s="35" t="n"/>
      <c r="BH22" s="35" t="n"/>
      <c r="BI22" s="35" t="n"/>
      <c r="BJ22" s="35" t="n"/>
      <c r="BK22" s="35" t="n"/>
      <c r="BL22" s="35" t="n"/>
      <c r="BM22" s="35" t="n"/>
      <c r="BN22" s="35" t="n"/>
      <c r="BO22" s="35" t="n"/>
      <c r="BP22" s="35" t="n"/>
      <c r="BQ22" s="35" t="n"/>
      <c r="BR22" s="35" t="n"/>
      <c r="BS22" s="35" t="n"/>
      <c r="BT22" s="35" t="n"/>
      <c r="BU22" s="35" t="n"/>
      <c r="BV22" s="35" t="n"/>
      <c r="BW22" s="35" t="n"/>
      <c r="BX22" s="35" t="n"/>
      <c r="BY22" s="35" t="n"/>
      <c r="BZ22" s="35" t="n"/>
      <c r="CA22" s="35" t="n"/>
      <c r="CB22" s="35" t="n"/>
      <c r="CC22" s="35" t="n"/>
      <c r="CD22" s="35" t="n"/>
    </row>
    <row r="23">
      <c r="A23" s="30" t="inlineStr">
        <is>
          <t>2.5</t>
        </is>
      </c>
      <c r="B23" s="31" t="inlineStr">
        <is>
          <t>Union of four sources into one authoritative register</t>
        </is>
      </c>
      <c r="C23" s="31" t="inlineStr">
        <is>
          <t>2 · Inventory and redirect map</t>
        </is>
      </c>
      <c r="D23" s="32" t="n">
        <v>4.8</v>
      </c>
      <c r="E23" s="33" t="n">
        <v>8</v>
      </c>
      <c r="F23" s="33" t="n">
        <v>11</v>
      </c>
      <c r="G23" s="35" t="n"/>
      <c r="H23" s="35" t="n"/>
      <c r="I23" s="35" t="n"/>
      <c r="J23" s="35" t="n"/>
      <c r="K23" s="35" t="n"/>
      <c r="L23" s="35" t="n"/>
      <c r="M23" s="35" t="n"/>
      <c r="N23" s="38" t="n"/>
      <c r="O23" s="38" t="n"/>
      <c r="P23" s="38" t="n"/>
      <c r="Q23" s="38" t="n"/>
      <c r="R23" s="35" t="n"/>
      <c r="S23" s="35" t="n"/>
      <c r="T23" s="35" t="n"/>
      <c r="U23" s="35" t="n"/>
      <c r="V23" s="35" t="n"/>
      <c r="W23" s="35" t="n"/>
      <c r="X23" s="35" t="n"/>
      <c r="Y23" s="35" t="n"/>
      <c r="Z23" s="35" t="n"/>
      <c r="AA23" s="35" t="n"/>
      <c r="AB23" s="35" t="n"/>
      <c r="AC23" s="35" t="n"/>
      <c r="AD23" s="35" t="n"/>
      <c r="AE23" s="36" t="n"/>
      <c r="AF23" s="36" t="n"/>
      <c r="AG23" s="36" t="n"/>
      <c r="AH23" s="36" t="n"/>
      <c r="AI23" s="36" t="n"/>
      <c r="AJ23" s="36" t="n"/>
      <c r="AK23" s="36" t="n"/>
      <c r="AL23" s="36" t="n"/>
      <c r="AM23" s="36" t="n"/>
      <c r="AN23" s="36" t="n"/>
      <c r="AO23" s="36" t="n"/>
      <c r="AP23" s="36" t="n"/>
      <c r="AQ23" s="35" t="n"/>
      <c r="AR23" s="35" t="n"/>
      <c r="AS23" s="35" t="n"/>
      <c r="AT23" s="35" t="n"/>
      <c r="AU23" s="35" t="n"/>
      <c r="AV23" s="35" t="n"/>
      <c r="AW23" s="35" t="n"/>
      <c r="AX23" s="35" t="n"/>
      <c r="AY23" s="35" t="n"/>
      <c r="AZ23" s="35" t="n"/>
      <c r="BA23" s="35" t="n"/>
      <c r="BB23" s="35" t="n"/>
      <c r="BC23" s="35" t="n"/>
      <c r="BD23" s="35" t="n"/>
      <c r="BE23" s="35" t="n"/>
      <c r="BF23" s="35" t="n"/>
      <c r="BG23" s="35" t="n"/>
      <c r="BH23" s="35" t="n"/>
      <c r="BI23" s="35" t="n"/>
      <c r="BJ23" s="35" t="n"/>
      <c r="BK23" s="35" t="n"/>
      <c r="BL23" s="35" t="n"/>
      <c r="BM23" s="35" t="n"/>
      <c r="BN23" s="35" t="n"/>
      <c r="BO23" s="35" t="n"/>
      <c r="BP23" s="35" t="n"/>
      <c r="BQ23" s="35" t="n"/>
      <c r="BR23" s="35" t="n"/>
      <c r="BS23" s="35" t="n"/>
      <c r="BT23" s="35" t="n"/>
      <c r="BU23" s="35" t="n"/>
      <c r="BV23" s="35" t="n"/>
      <c r="BW23" s="35" t="n"/>
      <c r="BX23" s="35" t="n"/>
      <c r="BY23" s="35" t="n"/>
      <c r="BZ23" s="35" t="n"/>
      <c r="CA23" s="35" t="n"/>
      <c r="CB23" s="35" t="n"/>
      <c r="CC23" s="35" t="n"/>
      <c r="CD23" s="35" t="n"/>
    </row>
    <row r="24">
      <c r="A24" s="30" t="inlineStr">
        <is>
          <t>2.6</t>
        </is>
      </c>
      <c r="B24" s="31" t="inlineStr">
        <is>
          <t>Triage facilitation — keep / archive / retire</t>
        </is>
      </c>
      <c r="C24" s="31" t="inlineStr">
        <is>
          <t>2 · Inventory and redirect map</t>
        </is>
      </c>
      <c r="D24" s="32" t="n">
        <v>15.1</v>
      </c>
      <c r="E24" s="33" t="n">
        <v>10</v>
      </c>
      <c r="F24" s="33" t="n">
        <v>19</v>
      </c>
      <c r="G24" s="35" t="n"/>
      <c r="H24" s="35" t="n"/>
      <c r="I24" s="35" t="n"/>
      <c r="J24" s="35" t="n"/>
      <c r="K24" s="35" t="n"/>
      <c r="L24" s="35" t="n"/>
      <c r="M24" s="35" t="n"/>
      <c r="N24" s="35" t="n"/>
      <c r="O24" s="35" t="n"/>
      <c r="P24" s="38" t="n"/>
      <c r="Q24" s="38" t="n"/>
      <c r="R24" s="38" t="n"/>
      <c r="S24" s="38" t="n"/>
      <c r="T24" s="38" t="n"/>
      <c r="U24" s="38" t="n"/>
      <c r="V24" s="38" t="n"/>
      <c r="W24" s="38" t="n"/>
      <c r="X24" s="38" t="n"/>
      <c r="Y24" s="38" t="n"/>
      <c r="Z24" s="35" t="n"/>
      <c r="AA24" s="35" t="n"/>
      <c r="AB24" s="35" t="n"/>
      <c r="AC24" s="35" t="n"/>
      <c r="AD24" s="35" t="n"/>
      <c r="AE24" s="36" t="n"/>
      <c r="AF24" s="36" t="n"/>
      <c r="AG24" s="36" t="n"/>
      <c r="AH24" s="36" t="n"/>
      <c r="AI24" s="36" t="n"/>
      <c r="AJ24" s="36" t="n"/>
      <c r="AK24" s="36" t="n"/>
      <c r="AL24" s="36" t="n"/>
      <c r="AM24" s="36" t="n"/>
      <c r="AN24" s="36" t="n"/>
      <c r="AO24" s="36" t="n"/>
      <c r="AP24" s="36" t="n"/>
      <c r="AQ24" s="35" t="n"/>
      <c r="AR24" s="35" t="n"/>
      <c r="AS24" s="35" t="n"/>
      <c r="AT24" s="35" t="n"/>
      <c r="AU24" s="35" t="n"/>
      <c r="AV24" s="35" t="n"/>
      <c r="AW24" s="35" t="n"/>
      <c r="AX24" s="35" t="n"/>
      <c r="AY24" s="35" t="n"/>
      <c r="AZ24" s="35" t="n"/>
      <c r="BA24" s="35" t="n"/>
      <c r="BB24" s="35" t="n"/>
      <c r="BC24" s="35" t="n"/>
      <c r="BD24" s="35" t="n"/>
      <c r="BE24" s="35" t="n"/>
      <c r="BF24" s="35" t="n"/>
      <c r="BG24" s="35" t="n"/>
      <c r="BH24" s="35" t="n"/>
      <c r="BI24" s="35" t="n"/>
      <c r="BJ24" s="35" t="n"/>
      <c r="BK24" s="35" t="n"/>
      <c r="BL24" s="35" t="n"/>
      <c r="BM24" s="35" t="n"/>
      <c r="BN24" s="35" t="n"/>
      <c r="BO24" s="35" t="n"/>
      <c r="BP24" s="35" t="n"/>
      <c r="BQ24" s="35" t="n"/>
      <c r="BR24" s="35" t="n"/>
      <c r="BS24" s="35" t="n"/>
      <c r="BT24" s="35" t="n"/>
      <c r="BU24" s="35" t="n"/>
      <c r="BV24" s="35" t="n"/>
      <c r="BW24" s="35" t="n"/>
      <c r="BX24" s="35" t="n"/>
      <c r="BY24" s="35" t="n"/>
      <c r="BZ24" s="35" t="n"/>
      <c r="CA24" s="35" t="n"/>
      <c r="CB24" s="35" t="n"/>
      <c r="CC24" s="35" t="n"/>
      <c r="CD24" s="35" t="n"/>
    </row>
    <row r="25">
      <c r="A25" s="30" t="inlineStr">
        <is>
          <t>2.7</t>
        </is>
      </c>
      <c r="B25" s="31" t="inlineStr">
        <is>
          <t>PDF estate inventory and disposition (~2,758 documents)</t>
        </is>
      </c>
      <c r="C25" s="31" t="inlineStr">
        <is>
          <t>2 · Inventory and redirect map</t>
        </is>
      </c>
      <c r="D25" s="32" t="n">
        <v>12.5</v>
      </c>
      <c r="E25" s="33" t="n">
        <v>11</v>
      </c>
      <c r="F25" s="33" t="n">
        <v>18</v>
      </c>
      <c r="G25" s="35" t="n"/>
      <c r="H25" s="35" t="n"/>
      <c r="I25" s="35" t="n"/>
      <c r="J25" s="35" t="n"/>
      <c r="K25" s="35" t="n"/>
      <c r="L25" s="35" t="n"/>
      <c r="M25" s="35" t="n"/>
      <c r="N25" s="35" t="n"/>
      <c r="O25" s="35" t="n"/>
      <c r="P25" s="35" t="n"/>
      <c r="Q25" s="38" t="n"/>
      <c r="R25" s="38" t="n"/>
      <c r="S25" s="38" t="n"/>
      <c r="T25" s="38" t="n"/>
      <c r="U25" s="38" t="n"/>
      <c r="V25" s="38" t="n"/>
      <c r="W25" s="38" t="n"/>
      <c r="X25" s="38" t="n"/>
      <c r="Y25" s="35" t="n"/>
      <c r="Z25" s="35" t="n"/>
      <c r="AA25" s="35" t="n"/>
      <c r="AB25" s="35" t="n"/>
      <c r="AC25" s="35" t="n"/>
      <c r="AD25" s="35" t="n"/>
      <c r="AE25" s="36" t="n"/>
      <c r="AF25" s="36" t="n"/>
      <c r="AG25" s="36" t="n"/>
      <c r="AH25" s="36" t="n"/>
      <c r="AI25" s="36" t="n"/>
      <c r="AJ25" s="36" t="n"/>
      <c r="AK25" s="36" t="n"/>
      <c r="AL25" s="36" t="n"/>
      <c r="AM25" s="36" t="n"/>
      <c r="AN25" s="36" t="n"/>
      <c r="AO25" s="36" t="n"/>
      <c r="AP25" s="36" t="n"/>
      <c r="AQ25" s="35" t="n"/>
      <c r="AR25" s="35" t="n"/>
      <c r="AS25" s="35" t="n"/>
      <c r="AT25" s="35" t="n"/>
      <c r="AU25" s="35" t="n"/>
      <c r="AV25" s="35" t="n"/>
      <c r="AW25" s="35" t="n"/>
      <c r="AX25" s="35" t="n"/>
      <c r="AY25" s="35" t="n"/>
      <c r="AZ25" s="35" t="n"/>
      <c r="BA25" s="35" t="n"/>
      <c r="BB25" s="35" t="n"/>
      <c r="BC25" s="35" t="n"/>
      <c r="BD25" s="35" t="n"/>
      <c r="BE25" s="35" t="n"/>
      <c r="BF25" s="35" t="n"/>
      <c r="BG25" s="35" t="n"/>
      <c r="BH25" s="35" t="n"/>
      <c r="BI25" s="35" t="n"/>
      <c r="BJ25" s="35" t="n"/>
      <c r="BK25" s="35" t="n"/>
      <c r="BL25" s="35" t="n"/>
      <c r="BM25" s="35" t="n"/>
      <c r="BN25" s="35" t="n"/>
      <c r="BO25" s="35" t="n"/>
      <c r="BP25" s="35" t="n"/>
      <c r="BQ25" s="35" t="n"/>
      <c r="BR25" s="35" t="n"/>
      <c r="BS25" s="35" t="n"/>
      <c r="BT25" s="35" t="n"/>
      <c r="BU25" s="35" t="n"/>
      <c r="BV25" s="35" t="n"/>
      <c r="BW25" s="35" t="n"/>
      <c r="BX25" s="35" t="n"/>
      <c r="BY25" s="35" t="n"/>
      <c r="BZ25" s="35" t="n"/>
      <c r="CA25" s="35" t="n"/>
      <c r="CB25" s="35" t="n"/>
      <c r="CC25" s="35" t="n"/>
      <c r="CD25" s="35" t="n"/>
    </row>
    <row r="26">
      <c r="A26" s="30" t="inlineStr">
        <is>
          <t>2.8</t>
        </is>
      </c>
      <c r="B26" s="31" t="inlineStr">
        <is>
          <t>Redirect map — ~1,727 distinct source paths; rows exceed paths</t>
        </is>
      </c>
      <c r="C26" s="31" t="inlineStr">
        <is>
          <t>2 · Inventory and redirect map</t>
        </is>
      </c>
      <c r="D26" s="32" t="n">
        <v>24.2</v>
      </c>
      <c r="E26" s="33" t="n">
        <v>13</v>
      </c>
      <c r="F26" s="33" t="n">
        <v>20</v>
      </c>
      <c r="G26" s="35" t="n"/>
      <c r="H26" s="35" t="n"/>
      <c r="I26" s="35" t="n"/>
      <c r="J26" s="35" t="n"/>
      <c r="K26" s="35" t="n"/>
      <c r="L26" s="35" t="n"/>
      <c r="M26" s="35" t="n"/>
      <c r="N26" s="35" t="n"/>
      <c r="O26" s="35" t="n"/>
      <c r="P26" s="35" t="n"/>
      <c r="Q26" s="35" t="n"/>
      <c r="R26" s="35" t="n"/>
      <c r="S26" s="38" t="n"/>
      <c r="T26" s="38" t="n"/>
      <c r="U26" s="38" t="n"/>
      <c r="V26" s="38" t="n"/>
      <c r="W26" s="38" t="n"/>
      <c r="X26" s="38" t="n"/>
      <c r="Y26" s="38" t="n"/>
      <c r="Z26" s="38" t="n"/>
      <c r="AA26" s="35" t="n"/>
      <c r="AB26" s="35" t="n"/>
      <c r="AC26" s="35" t="n"/>
      <c r="AD26" s="35" t="n"/>
      <c r="AE26" s="36" t="n"/>
      <c r="AF26" s="36" t="n"/>
      <c r="AG26" s="36" t="n"/>
      <c r="AH26" s="36" t="n"/>
      <c r="AI26" s="36" t="n"/>
      <c r="AJ26" s="36" t="n"/>
      <c r="AK26" s="36" t="n"/>
      <c r="AL26" s="36" t="n"/>
      <c r="AM26" s="36" t="n"/>
      <c r="AN26" s="36" t="n"/>
      <c r="AO26" s="36" t="n"/>
      <c r="AP26" s="36" t="n"/>
      <c r="AQ26" s="35" t="n"/>
      <c r="AR26" s="35" t="n"/>
      <c r="AS26" s="35" t="n"/>
      <c r="AT26" s="35" t="n"/>
      <c r="AU26" s="35" t="n"/>
      <c r="AV26" s="35" t="n"/>
      <c r="AW26" s="35" t="n"/>
      <c r="AX26" s="35" t="n"/>
      <c r="AY26" s="35" t="n"/>
      <c r="AZ26" s="35" t="n"/>
      <c r="BA26" s="35" t="n"/>
      <c r="BB26" s="35" t="n"/>
      <c r="BC26" s="35" t="n"/>
      <c r="BD26" s="35" t="n"/>
      <c r="BE26" s="35" t="n"/>
      <c r="BF26" s="35" t="n"/>
      <c r="BG26" s="35" t="n"/>
      <c r="BH26" s="35" t="n"/>
      <c r="BI26" s="35" t="n"/>
      <c r="BJ26" s="35" t="n"/>
      <c r="BK26" s="35" t="n"/>
      <c r="BL26" s="35" t="n"/>
      <c r="BM26" s="35" t="n"/>
      <c r="BN26" s="35" t="n"/>
      <c r="BO26" s="35" t="n"/>
      <c r="BP26" s="35" t="n"/>
      <c r="BQ26" s="35" t="n"/>
      <c r="BR26" s="35" t="n"/>
      <c r="BS26" s="35" t="n"/>
      <c r="BT26" s="35" t="n"/>
      <c r="BU26" s="35" t="n"/>
      <c r="BV26" s="35" t="n"/>
      <c r="BW26" s="35" t="n"/>
      <c r="BX26" s="35" t="n"/>
      <c r="BY26" s="35" t="n"/>
      <c r="BZ26" s="35" t="n"/>
      <c r="CA26" s="35" t="n"/>
      <c r="CB26" s="35" t="n"/>
      <c r="CC26" s="35" t="n"/>
      <c r="CD26" s="35" t="n"/>
    </row>
    <row r="27">
      <c r="A27" s="30" t="inlineStr">
        <is>
          <t>2.9</t>
        </is>
      </c>
      <c r="B27" s="31" t="inlineStr">
        <is>
          <t>Hindi pairing by hreflang; bilingual gap quantified</t>
        </is>
      </c>
      <c r="C27" s="31" t="inlineStr">
        <is>
          <t>2 · Inventory and redirect map</t>
        </is>
      </c>
      <c r="D27" s="32" t="n">
        <v>4.8</v>
      </c>
      <c r="E27" s="33" t="n">
        <v>9</v>
      </c>
      <c r="F27" s="33" t="n">
        <v>13</v>
      </c>
      <c r="G27" s="35" t="n"/>
      <c r="H27" s="35" t="n"/>
      <c r="I27" s="35" t="n"/>
      <c r="J27" s="35" t="n"/>
      <c r="K27" s="35" t="n"/>
      <c r="L27" s="35" t="n"/>
      <c r="M27" s="35" t="n"/>
      <c r="N27" s="35" t="n"/>
      <c r="O27" s="38" t="n"/>
      <c r="P27" s="38" t="n"/>
      <c r="Q27" s="38" t="n"/>
      <c r="R27" s="38" t="n"/>
      <c r="S27" s="38" t="n"/>
      <c r="T27" s="35" t="n"/>
      <c r="U27" s="35" t="n"/>
      <c r="V27" s="35" t="n"/>
      <c r="W27" s="35" t="n"/>
      <c r="X27" s="35" t="n"/>
      <c r="Y27" s="35" t="n"/>
      <c r="Z27" s="35" t="n"/>
      <c r="AA27" s="35" t="n"/>
      <c r="AB27" s="35" t="n"/>
      <c r="AC27" s="35" t="n"/>
      <c r="AD27" s="35" t="n"/>
      <c r="AE27" s="36" t="n"/>
      <c r="AF27" s="36" t="n"/>
      <c r="AG27" s="36" t="n"/>
      <c r="AH27" s="36" t="n"/>
      <c r="AI27" s="36" t="n"/>
      <c r="AJ27" s="36" t="n"/>
      <c r="AK27" s="36" t="n"/>
      <c r="AL27" s="36" t="n"/>
      <c r="AM27" s="36" t="n"/>
      <c r="AN27" s="36" t="n"/>
      <c r="AO27" s="36" t="n"/>
      <c r="AP27" s="36" t="n"/>
      <c r="AQ27" s="35" t="n"/>
      <c r="AR27" s="35" t="n"/>
      <c r="AS27" s="35" t="n"/>
      <c r="AT27" s="35" t="n"/>
      <c r="AU27" s="35" t="n"/>
      <c r="AV27" s="35" t="n"/>
      <c r="AW27" s="35" t="n"/>
      <c r="AX27" s="35" t="n"/>
      <c r="AY27" s="35" t="n"/>
      <c r="AZ27" s="35" t="n"/>
      <c r="BA27" s="35" t="n"/>
      <c r="BB27" s="35" t="n"/>
      <c r="BC27" s="35" t="n"/>
      <c r="BD27" s="35" t="n"/>
      <c r="BE27" s="35" t="n"/>
      <c r="BF27" s="35" t="n"/>
      <c r="BG27" s="35" t="n"/>
      <c r="BH27" s="35" t="n"/>
      <c r="BI27" s="35" t="n"/>
      <c r="BJ27" s="35" t="n"/>
      <c r="BK27" s="35" t="n"/>
      <c r="BL27" s="35" t="n"/>
      <c r="BM27" s="35" t="n"/>
      <c r="BN27" s="35" t="n"/>
      <c r="BO27" s="35" t="n"/>
      <c r="BP27" s="35" t="n"/>
      <c r="BQ27" s="35" t="n"/>
      <c r="BR27" s="35" t="n"/>
      <c r="BS27" s="35" t="n"/>
      <c r="BT27" s="35" t="n"/>
      <c r="BU27" s="35" t="n"/>
      <c r="BV27" s="35" t="n"/>
      <c r="BW27" s="35" t="n"/>
      <c r="BX27" s="35" t="n"/>
      <c r="BY27" s="35" t="n"/>
      <c r="BZ27" s="35" t="n"/>
      <c r="CA27" s="35" t="n"/>
      <c r="CB27" s="35" t="n"/>
      <c r="CC27" s="35" t="n"/>
      <c r="CD27" s="35" t="n"/>
    </row>
    <row r="28">
      <c r="A28" s="30" t="inlineStr">
        <is>
          <t>P.1a</t>
        </is>
      </c>
      <c r="B28" s="31" t="inlineStr">
        <is>
          <t>Programme and delivery management — Stage 1</t>
        </is>
      </c>
      <c r="C28" s="31" t="inlineStr">
        <is>
          <t>P · Programme management</t>
        </is>
      </c>
      <c r="D28" s="32" t="n">
        <v>19.2</v>
      </c>
      <c r="E28" s="33" t="n">
        <v>1</v>
      </c>
      <c r="F28" s="33" t="n">
        <v>24</v>
      </c>
      <c r="G28" s="39" t="n"/>
      <c r="H28" s="39" t="n"/>
      <c r="I28" s="39" t="n"/>
      <c r="J28" s="39" t="n"/>
      <c r="K28" s="39" t="n"/>
      <c r="L28" s="39" t="n"/>
      <c r="M28" s="39" t="n"/>
      <c r="N28" s="39" t="n"/>
      <c r="O28" s="39" t="n"/>
      <c r="P28" s="39" t="n"/>
      <c r="Q28" s="39" t="n"/>
      <c r="R28" s="39" t="n"/>
      <c r="S28" s="39" t="n"/>
      <c r="T28" s="39" t="n"/>
      <c r="U28" s="39" t="n"/>
      <c r="V28" s="39" t="n"/>
      <c r="W28" s="39" t="n"/>
      <c r="X28" s="39" t="n"/>
      <c r="Y28" s="39" t="n"/>
      <c r="Z28" s="39" t="n"/>
      <c r="AA28" s="39" t="n"/>
      <c r="AB28" s="39" t="n"/>
      <c r="AC28" s="39" t="n"/>
      <c r="AD28" s="39" t="n"/>
      <c r="AE28" s="36" t="n"/>
      <c r="AF28" s="36" t="n"/>
      <c r="AG28" s="36" t="n"/>
      <c r="AH28" s="36" t="n"/>
      <c r="AI28" s="36" t="n"/>
      <c r="AJ28" s="36" t="n"/>
      <c r="AK28" s="36" t="n"/>
      <c r="AL28" s="36" t="n"/>
      <c r="AM28" s="36" t="n"/>
      <c r="AN28" s="36" t="n"/>
      <c r="AO28" s="36" t="n"/>
      <c r="AP28" s="36" t="n"/>
      <c r="AQ28" s="35" t="n"/>
      <c r="AR28" s="35" t="n"/>
      <c r="AS28" s="35" t="n"/>
      <c r="AT28" s="35" t="n"/>
      <c r="AU28" s="35" t="n"/>
      <c r="AV28" s="35" t="n"/>
      <c r="AW28" s="35" t="n"/>
      <c r="AX28" s="35" t="n"/>
      <c r="AY28" s="35" t="n"/>
      <c r="AZ28" s="35" t="n"/>
      <c r="BA28" s="35" t="n"/>
      <c r="BB28" s="35" t="n"/>
      <c r="BC28" s="35" t="n"/>
      <c r="BD28" s="35" t="n"/>
      <c r="BE28" s="35" t="n"/>
      <c r="BF28" s="35" t="n"/>
      <c r="BG28" s="35" t="n"/>
      <c r="BH28" s="35" t="n"/>
      <c r="BI28" s="35" t="n"/>
      <c r="BJ28" s="35" t="n"/>
      <c r="BK28" s="35" t="n"/>
      <c r="BL28" s="35" t="n"/>
      <c r="BM28" s="35" t="n"/>
      <c r="BN28" s="35" t="n"/>
      <c r="BO28" s="35" t="n"/>
      <c r="BP28" s="35" t="n"/>
      <c r="BQ28" s="35" t="n"/>
      <c r="BR28" s="35" t="n"/>
      <c r="BS28" s="35" t="n"/>
      <c r="BT28" s="35" t="n"/>
      <c r="BU28" s="35" t="n"/>
      <c r="BV28" s="35" t="n"/>
      <c r="BW28" s="35" t="n"/>
      <c r="BX28" s="35" t="n"/>
      <c r="BY28" s="35" t="n"/>
      <c r="BZ28" s="35" t="n"/>
      <c r="CA28" s="35" t="n"/>
      <c r="CB28" s="35" t="n"/>
      <c r="CC28" s="35" t="n"/>
      <c r="CD28" s="35" t="n"/>
    </row>
    <row r="29">
      <c r="A29" s="30" t="inlineStr">
        <is>
          <t>P.2a</t>
        </is>
      </c>
      <c r="B29" s="31" t="inlineStr">
        <is>
          <t>Business analysis and content governance — Stage 1</t>
        </is>
      </c>
      <c r="C29" s="31" t="inlineStr">
        <is>
          <t>P · Programme management</t>
        </is>
      </c>
      <c r="D29" s="32" t="n">
        <v>11.9</v>
      </c>
      <c r="E29" s="33" t="n">
        <v>2</v>
      </c>
      <c r="F29" s="33" t="n">
        <v>22</v>
      </c>
      <c r="G29" s="35" t="n"/>
      <c r="H29" s="39" t="n"/>
      <c r="I29" s="39" t="n"/>
      <c r="J29" s="39" t="n"/>
      <c r="K29" s="39" t="n"/>
      <c r="L29" s="39" t="n"/>
      <c r="M29" s="39" t="n"/>
      <c r="N29" s="39" t="n"/>
      <c r="O29" s="39" t="n"/>
      <c r="P29" s="39" t="n"/>
      <c r="Q29" s="39" t="n"/>
      <c r="R29" s="39" t="n"/>
      <c r="S29" s="39" t="n"/>
      <c r="T29" s="39" t="n"/>
      <c r="U29" s="39" t="n"/>
      <c r="V29" s="39" t="n"/>
      <c r="W29" s="39" t="n"/>
      <c r="X29" s="39" t="n"/>
      <c r="Y29" s="39" t="n"/>
      <c r="Z29" s="39" t="n"/>
      <c r="AA29" s="39" t="n"/>
      <c r="AB29" s="39" t="n"/>
      <c r="AC29" s="35" t="n"/>
      <c r="AD29" s="35" t="n"/>
      <c r="AE29" s="36" t="n"/>
      <c r="AF29" s="36" t="n"/>
      <c r="AG29" s="36" t="n"/>
      <c r="AH29" s="36" t="n"/>
      <c r="AI29" s="36" t="n"/>
      <c r="AJ29" s="36" t="n"/>
      <c r="AK29" s="36" t="n"/>
      <c r="AL29" s="36" t="n"/>
      <c r="AM29" s="36" t="n"/>
      <c r="AN29" s="36" t="n"/>
      <c r="AO29" s="36" t="n"/>
      <c r="AP29" s="36" t="n"/>
      <c r="AQ29" s="35" t="n"/>
      <c r="AR29" s="35" t="n"/>
      <c r="AS29" s="35" t="n"/>
      <c r="AT29" s="35" t="n"/>
      <c r="AU29" s="35" t="n"/>
      <c r="AV29" s="35" t="n"/>
      <c r="AW29" s="35" t="n"/>
      <c r="AX29" s="35" t="n"/>
      <c r="AY29" s="35" t="n"/>
      <c r="AZ29" s="35" t="n"/>
      <c r="BA29" s="35" t="n"/>
      <c r="BB29" s="35" t="n"/>
      <c r="BC29" s="35" t="n"/>
      <c r="BD29" s="35" t="n"/>
      <c r="BE29" s="35" t="n"/>
      <c r="BF29" s="35" t="n"/>
      <c r="BG29" s="35" t="n"/>
      <c r="BH29" s="35" t="n"/>
      <c r="BI29" s="35" t="n"/>
      <c r="BJ29" s="35" t="n"/>
      <c r="BK29" s="35" t="n"/>
      <c r="BL29" s="35" t="n"/>
      <c r="BM29" s="35" t="n"/>
      <c r="BN29" s="35" t="n"/>
      <c r="BO29" s="35" t="n"/>
      <c r="BP29" s="35" t="n"/>
      <c r="BQ29" s="35" t="n"/>
      <c r="BR29" s="35" t="n"/>
      <c r="BS29" s="35" t="n"/>
      <c r="BT29" s="35" t="n"/>
      <c r="BU29" s="35" t="n"/>
      <c r="BV29" s="35" t="n"/>
      <c r="BW29" s="35" t="n"/>
      <c r="BX29" s="35" t="n"/>
      <c r="BY29" s="35" t="n"/>
      <c r="BZ29" s="35" t="n"/>
      <c r="CA29" s="35" t="n"/>
      <c r="CB29" s="35" t="n"/>
      <c r="CC29" s="35" t="n"/>
      <c r="CD29" s="35" t="n"/>
    </row>
    <row r="30">
      <c r="A30" s="30" t="inlineStr">
        <is>
          <t>P.3a</t>
        </is>
      </c>
      <c r="B30" s="31" t="inlineStr">
        <is>
          <t>Documentation, SOPs and the Stage 2 cost baseline</t>
        </is>
      </c>
      <c r="C30" s="31" t="inlineStr">
        <is>
          <t>P · Programme management</t>
        </is>
      </c>
      <c r="D30" s="32" t="n">
        <v>9.1</v>
      </c>
      <c r="E30" s="33" t="n">
        <v>18</v>
      </c>
      <c r="F30" s="33" t="n">
        <v>24</v>
      </c>
      <c r="G30" s="35" t="n"/>
      <c r="H30" s="35" t="n"/>
      <c r="I30" s="35" t="n"/>
      <c r="J30" s="35" t="n"/>
      <c r="K30" s="35" t="n"/>
      <c r="L30" s="35" t="n"/>
      <c r="M30" s="35" t="n"/>
      <c r="N30" s="35" t="n"/>
      <c r="O30" s="35" t="n"/>
      <c r="P30" s="35" t="n"/>
      <c r="Q30" s="35" t="n"/>
      <c r="R30" s="35" t="n"/>
      <c r="S30" s="35" t="n"/>
      <c r="T30" s="35" t="n"/>
      <c r="U30" s="35" t="n"/>
      <c r="V30" s="35" t="n"/>
      <c r="W30" s="35" t="n"/>
      <c r="X30" s="39" t="n"/>
      <c r="Y30" s="39" t="n"/>
      <c r="Z30" s="39" t="n"/>
      <c r="AA30" s="39" t="n"/>
      <c r="AB30" s="39" t="n"/>
      <c r="AC30" s="39" t="n"/>
      <c r="AD30" s="39" t="n"/>
      <c r="AE30" s="36" t="n"/>
      <c r="AF30" s="36" t="n"/>
      <c r="AG30" s="36" t="n"/>
      <c r="AH30" s="36" t="n"/>
      <c r="AI30" s="36" t="n"/>
      <c r="AJ30" s="36" t="n"/>
      <c r="AK30" s="36" t="n"/>
      <c r="AL30" s="36" t="n"/>
      <c r="AM30" s="36" t="n"/>
      <c r="AN30" s="36" t="n"/>
      <c r="AO30" s="36" t="n"/>
      <c r="AP30" s="36" t="n"/>
      <c r="AQ30" s="35" t="n"/>
      <c r="AR30" s="35" t="n"/>
      <c r="AS30" s="35" t="n"/>
      <c r="AT30" s="35" t="n"/>
      <c r="AU30" s="35" t="n"/>
      <c r="AV30" s="35" t="n"/>
      <c r="AW30" s="35" t="n"/>
      <c r="AX30" s="35" t="n"/>
      <c r="AY30" s="35" t="n"/>
      <c r="AZ30" s="35" t="n"/>
      <c r="BA30" s="35" t="n"/>
      <c r="BB30" s="35" t="n"/>
      <c r="BC30" s="35" t="n"/>
      <c r="BD30" s="35" t="n"/>
      <c r="BE30" s="35" t="n"/>
      <c r="BF30" s="35" t="n"/>
      <c r="BG30" s="35" t="n"/>
      <c r="BH30" s="35" t="n"/>
      <c r="BI30" s="35" t="n"/>
      <c r="BJ30" s="35" t="n"/>
      <c r="BK30" s="35" t="n"/>
      <c r="BL30" s="35" t="n"/>
      <c r="BM30" s="35" t="n"/>
      <c r="BN30" s="35" t="n"/>
      <c r="BO30" s="35" t="n"/>
      <c r="BP30" s="35" t="n"/>
      <c r="BQ30" s="35" t="n"/>
      <c r="BR30" s="35" t="n"/>
      <c r="BS30" s="35" t="n"/>
      <c r="BT30" s="35" t="n"/>
      <c r="BU30" s="35" t="n"/>
      <c r="BV30" s="35" t="n"/>
      <c r="BW30" s="35" t="n"/>
      <c r="BX30" s="35" t="n"/>
      <c r="BY30" s="35" t="n"/>
      <c r="BZ30" s="35" t="n"/>
      <c r="CA30" s="35" t="n"/>
      <c r="CB30" s="35" t="n"/>
      <c r="CC30" s="35" t="n"/>
      <c r="CD30" s="35" t="n"/>
    </row>
    <row r="31">
      <c r="A31" s="28" t="inlineStr">
        <is>
          <t>PROCUREMENT GAP · W25–W36 · Stage 2 is re-costed from Stage 1's register, then procured</t>
        </is>
      </c>
      <c r="G31" s="29" t="n"/>
      <c r="H31" s="29" t="n"/>
      <c r="I31" s="29" t="n"/>
      <c r="J31" s="29" t="n"/>
      <c r="K31" s="29" t="n"/>
      <c r="L31" s="29" t="n"/>
      <c r="M31" s="29" t="n"/>
      <c r="N31" s="29" t="n"/>
      <c r="O31" s="29" t="n"/>
      <c r="P31" s="29" t="n"/>
      <c r="Q31" s="29" t="n"/>
      <c r="R31" s="29" t="n"/>
      <c r="S31" s="29" t="n"/>
      <c r="T31" s="29" t="n"/>
      <c r="U31" s="29" t="n"/>
      <c r="V31" s="29" t="n"/>
      <c r="W31" s="29" t="n"/>
      <c r="X31" s="29" t="n"/>
      <c r="Y31" s="29" t="n"/>
      <c r="Z31" s="29" t="n"/>
      <c r="AA31" s="29" t="n"/>
      <c r="AB31" s="29" t="n"/>
      <c r="AC31" s="29" t="n"/>
      <c r="AD31" s="29" t="n"/>
      <c r="AE31" s="29" t="n"/>
      <c r="AF31" s="29" t="n"/>
      <c r="AG31" s="29" t="n"/>
      <c r="AH31" s="29" t="n"/>
      <c r="AI31" s="29" t="n"/>
      <c r="AJ31" s="29" t="n"/>
      <c r="AK31" s="29" t="n"/>
      <c r="AL31" s="29" t="n"/>
      <c r="AM31" s="29" t="n"/>
      <c r="AN31" s="29" t="n"/>
      <c r="AO31" s="29" t="n"/>
      <c r="AP31" s="29" t="n"/>
      <c r="AQ31" s="29" t="n"/>
      <c r="AR31" s="29" t="n"/>
      <c r="AS31" s="29" t="n"/>
      <c r="AT31" s="29" t="n"/>
      <c r="AU31" s="29" t="n"/>
      <c r="AV31" s="29" t="n"/>
      <c r="AW31" s="29" t="n"/>
      <c r="AX31" s="29" t="n"/>
      <c r="AY31" s="29" t="n"/>
      <c r="AZ31" s="29" t="n"/>
      <c r="BA31" s="29" t="n"/>
      <c r="BB31" s="29" t="n"/>
      <c r="BC31" s="29" t="n"/>
      <c r="BD31" s="29" t="n"/>
      <c r="BE31" s="29" t="n"/>
      <c r="BF31" s="29" t="n"/>
      <c r="BG31" s="29" t="n"/>
      <c r="BH31" s="29" t="n"/>
      <c r="BI31" s="29" t="n"/>
      <c r="BJ31" s="29" t="n"/>
      <c r="BK31" s="29" t="n"/>
      <c r="BL31" s="29" t="n"/>
      <c r="BM31" s="29" t="n"/>
      <c r="BN31" s="29" t="n"/>
      <c r="BO31" s="29" t="n"/>
      <c r="BP31" s="29" t="n"/>
      <c r="BQ31" s="29" t="n"/>
      <c r="BR31" s="29" t="n"/>
      <c r="BS31" s="29" t="n"/>
      <c r="BT31" s="29" t="n"/>
      <c r="BU31" s="29" t="n"/>
      <c r="BV31" s="29" t="n"/>
      <c r="BW31" s="29" t="n"/>
      <c r="BX31" s="29" t="n"/>
      <c r="BY31" s="29" t="n"/>
      <c r="BZ31" s="29" t="n"/>
      <c r="CA31" s="29" t="n"/>
      <c r="CB31" s="29" t="n"/>
      <c r="CC31" s="29" t="n"/>
      <c r="CD31" s="29" t="n"/>
    </row>
    <row r="32">
      <c r="A32" s="28" t="inlineStr">
        <is>
          <t>STAGE 2 · Migrate and cut over · W37–W76 · 207 PD</t>
        </is>
      </c>
      <c r="G32" s="29" t="n"/>
      <c r="H32" s="29" t="n"/>
      <c r="I32" s="29" t="n"/>
      <c r="J32" s="29" t="n"/>
      <c r="K32" s="29" t="n"/>
      <c r="L32" s="29" t="n"/>
      <c r="M32" s="29" t="n"/>
      <c r="N32" s="29" t="n"/>
      <c r="O32" s="29" t="n"/>
      <c r="P32" s="29" t="n"/>
      <c r="Q32" s="29" t="n"/>
      <c r="R32" s="29" t="n"/>
      <c r="S32" s="29" t="n"/>
      <c r="T32" s="29" t="n"/>
      <c r="U32" s="29" t="n"/>
      <c r="V32" s="29" t="n"/>
      <c r="W32" s="29" t="n"/>
      <c r="X32" s="29" t="n"/>
      <c r="Y32" s="29" t="n"/>
      <c r="Z32" s="29" t="n"/>
      <c r="AA32" s="29" t="n"/>
      <c r="AB32" s="29" t="n"/>
      <c r="AC32" s="29" t="n"/>
      <c r="AD32" s="29" t="n"/>
      <c r="AE32" s="29" t="n"/>
      <c r="AF32" s="29" t="n"/>
      <c r="AG32" s="29" t="n"/>
      <c r="AH32" s="29" t="n"/>
      <c r="AI32" s="29" t="n"/>
      <c r="AJ32" s="29" t="n"/>
      <c r="AK32" s="29" t="n"/>
      <c r="AL32" s="29" t="n"/>
      <c r="AM32" s="29" t="n"/>
      <c r="AN32" s="29" t="n"/>
      <c r="AO32" s="29" t="n"/>
      <c r="AP32" s="29" t="n"/>
      <c r="AQ32" s="29" t="n"/>
      <c r="AR32" s="29" t="n"/>
      <c r="AS32" s="29" t="n"/>
      <c r="AT32" s="29" t="n"/>
      <c r="AU32" s="29" t="n"/>
      <c r="AV32" s="29" t="n"/>
      <c r="AW32" s="29" t="n"/>
      <c r="AX32" s="29" t="n"/>
      <c r="AY32" s="29" t="n"/>
      <c r="AZ32" s="29" t="n"/>
      <c r="BA32" s="29" t="n"/>
      <c r="BB32" s="29" t="n"/>
      <c r="BC32" s="29" t="n"/>
      <c r="BD32" s="29" t="n"/>
      <c r="BE32" s="29" t="n"/>
      <c r="BF32" s="29" t="n"/>
      <c r="BG32" s="29" t="n"/>
      <c r="BH32" s="29" t="n"/>
      <c r="BI32" s="29" t="n"/>
      <c r="BJ32" s="29" t="n"/>
      <c r="BK32" s="29" t="n"/>
      <c r="BL32" s="29" t="n"/>
      <c r="BM32" s="29" t="n"/>
      <c r="BN32" s="29" t="n"/>
      <c r="BO32" s="29" t="n"/>
      <c r="BP32" s="29" t="n"/>
      <c r="BQ32" s="29" t="n"/>
      <c r="BR32" s="29" t="n"/>
      <c r="BS32" s="29" t="n"/>
      <c r="BT32" s="29" t="n"/>
      <c r="BU32" s="29" t="n"/>
      <c r="BV32" s="29" t="n"/>
      <c r="BW32" s="29" t="n"/>
      <c r="BX32" s="29" t="n"/>
      <c r="BY32" s="29" t="n"/>
      <c r="BZ32" s="29" t="n"/>
      <c r="CA32" s="29" t="n"/>
      <c r="CB32" s="29" t="n"/>
      <c r="CC32" s="29" t="n"/>
      <c r="CD32" s="29" t="n"/>
    </row>
    <row r="33">
      <c r="A33" s="30" t="inlineStr">
        <is>
          <t>3.1</t>
        </is>
      </c>
      <c r="B33" s="31" t="inlineStr">
        <is>
          <t>IA re-expression into the platform's flat structure</t>
        </is>
      </c>
      <c r="C33" s="31" t="inlineStr">
        <is>
          <t>3 · Build and content load</t>
        </is>
      </c>
      <c r="D33" s="32" t="n">
        <v>10.5</v>
      </c>
      <c r="E33" s="33" t="n">
        <v>37</v>
      </c>
      <c r="F33" s="33" t="n">
        <v>42</v>
      </c>
      <c r="G33" s="35" t="n"/>
      <c r="H33" s="35" t="n"/>
      <c r="I33" s="35" t="n"/>
      <c r="J33" s="35" t="n"/>
      <c r="K33" s="35" t="n"/>
      <c r="L33" s="35" t="n"/>
      <c r="M33" s="35" t="n"/>
      <c r="N33" s="35" t="n"/>
      <c r="O33" s="35" t="n"/>
      <c r="P33" s="35" t="n"/>
      <c r="Q33" s="35" t="n"/>
      <c r="R33" s="35" t="n"/>
      <c r="S33" s="35" t="n"/>
      <c r="T33" s="35" t="n"/>
      <c r="U33" s="35" t="n"/>
      <c r="V33" s="35" t="n"/>
      <c r="W33" s="35" t="n"/>
      <c r="X33" s="35" t="n"/>
      <c r="Y33" s="35" t="n"/>
      <c r="Z33" s="35" t="n"/>
      <c r="AA33" s="35" t="n"/>
      <c r="AB33" s="35" t="n"/>
      <c r="AC33" s="35" t="n"/>
      <c r="AD33" s="35" t="n"/>
      <c r="AE33" s="36" t="n"/>
      <c r="AF33" s="36" t="n"/>
      <c r="AG33" s="36" t="n"/>
      <c r="AH33" s="36" t="n"/>
      <c r="AI33" s="36" t="n"/>
      <c r="AJ33" s="36" t="n"/>
      <c r="AK33" s="36" t="n"/>
      <c r="AL33" s="36" t="n"/>
      <c r="AM33" s="36" t="n"/>
      <c r="AN33" s="36" t="n"/>
      <c r="AO33" s="36" t="n"/>
      <c r="AP33" s="36" t="n"/>
      <c r="AQ33" s="40" t="n"/>
      <c r="AR33" s="40" t="n"/>
      <c r="AS33" s="40" t="n"/>
      <c r="AT33" s="40" t="n"/>
      <c r="AU33" s="40" t="n"/>
      <c r="AV33" s="40" t="n"/>
      <c r="AW33" s="35" t="n"/>
      <c r="AX33" s="35" t="n"/>
      <c r="AY33" s="35" t="n"/>
      <c r="AZ33" s="35" t="n"/>
      <c r="BA33" s="35" t="n"/>
      <c r="BB33" s="35" t="n"/>
      <c r="BC33" s="35" t="n"/>
      <c r="BD33" s="35" t="n"/>
      <c r="BE33" s="35" t="n"/>
      <c r="BF33" s="35" t="n"/>
      <c r="BG33" s="35" t="n"/>
      <c r="BH33" s="35" t="n"/>
      <c r="BI33" s="35" t="n"/>
      <c r="BJ33" s="35" t="n"/>
      <c r="BK33" s="35" t="n"/>
      <c r="BL33" s="35" t="n"/>
      <c r="BM33" s="35" t="n"/>
      <c r="BN33" s="35" t="n"/>
      <c r="BO33" s="35" t="n"/>
      <c r="BP33" s="35" t="n"/>
      <c r="BQ33" s="35" t="n"/>
      <c r="BR33" s="35" t="n"/>
      <c r="BS33" s="35" t="n"/>
      <c r="BT33" s="35" t="n"/>
      <c r="BU33" s="35" t="n"/>
      <c r="BV33" s="35" t="n"/>
      <c r="BW33" s="35" t="n"/>
      <c r="BX33" s="35" t="n"/>
      <c r="BY33" s="35" t="n"/>
      <c r="BZ33" s="35" t="n"/>
      <c r="CA33" s="35" t="n"/>
      <c r="CB33" s="35" t="n"/>
      <c r="CC33" s="35" t="n"/>
      <c r="CD33" s="35" t="n"/>
    </row>
    <row r="34">
      <c r="A34" s="30" t="inlineStr">
        <is>
          <t>3.10</t>
        </is>
      </c>
      <c r="B34" s="31" t="inlineStr">
        <is>
          <t>Search configuration and relevance</t>
        </is>
      </c>
      <c r="C34" s="31" t="inlineStr">
        <is>
          <t>3 · Build and content load</t>
        </is>
      </c>
      <c r="D34" s="32" t="n">
        <v>4.6</v>
      </c>
      <c r="E34" s="33" t="n">
        <v>50</v>
      </c>
      <c r="F34" s="33" t="n">
        <v>54</v>
      </c>
      <c r="G34" s="35" t="n"/>
      <c r="H34" s="35" t="n"/>
      <c r="I34" s="35" t="n"/>
      <c r="J34" s="35" t="n"/>
      <c r="K34" s="35" t="n"/>
      <c r="L34" s="35" t="n"/>
      <c r="M34" s="35" t="n"/>
      <c r="N34" s="35" t="n"/>
      <c r="O34" s="35" t="n"/>
      <c r="P34" s="35" t="n"/>
      <c r="Q34" s="35" t="n"/>
      <c r="R34" s="35" t="n"/>
      <c r="S34" s="35" t="n"/>
      <c r="T34" s="35" t="n"/>
      <c r="U34" s="35" t="n"/>
      <c r="V34" s="35" t="n"/>
      <c r="W34" s="35" t="n"/>
      <c r="X34" s="35" t="n"/>
      <c r="Y34" s="35" t="n"/>
      <c r="Z34" s="35" t="n"/>
      <c r="AA34" s="35" t="n"/>
      <c r="AB34" s="35" t="n"/>
      <c r="AC34" s="35" t="n"/>
      <c r="AD34" s="35" t="n"/>
      <c r="AE34" s="36" t="n"/>
      <c r="AF34" s="36" t="n"/>
      <c r="AG34" s="36" t="n"/>
      <c r="AH34" s="36" t="n"/>
      <c r="AI34" s="36" t="n"/>
      <c r="AJ34" s="36" t="n"/>
      <c r="AK34" s="36" t="n"/>
      <c r="AL34" s="36" t="n"/>
      <c r="AM34" s="36" t="n"/>
      <c r="AN34" s="36" t="n"/>
      <c r="AO34" s="36" t="n"/>
      <c r="AP34" s="36" t="n"/>
      <c r="AQ34" s="35" t="n"/>
      <c r="AR34" s="35" t="n"/>
      <c r="AS34" s="35" t="n"/>
      <c r="AT34" s="35" t="n"/>
      <c r="AU34" s="35" t="n"/>
      <c r="AV34" s="35" t="n"/>
      <c r="AW34" s="35" t="n"/>
      <c r="AX34" s="35" t="n"/>
      <c r="AY34" s="35" t="n"/>
      <c r="AZ34" s="35" t="n"/>
      <c r="BA34" s="35" t="n"/>
      <c r="BB34" s="35" t="n"/>
      <c r="BC34" s="35" t="n"/>
      <c r="BD34" s="40" t="n"/>
      <c r="BE34" s="40" t="n"/>
      <c r="BF34" s="40" t="n"/>
      <c r="BG34" s="40" t="n"/>
      <c r="BH34" s="40" t="n"/>
      <c r="BI34" s="35" t="n"/>
      <c r="BJ34" s="35" t="n"/>
      <c r="BK34" s="35" t="n"/>
      <c r="BL34" s="35" t="n"/>
      <c r="BM34" s="35" t="n"/>
      <c r="BN34" s="35" t="n"/>
      <c r="BO34" s="35" t="n"/>
      <c r="BP34" s="35" t="n"/>
      <c r="BQ34" s="35" t="n"/>
      <c r="BR34" s="35" t="n"/>
      <c r="BS34" s="35" t="n"/>
      <c r="BT34" s="35" t="n"/>
      <c r="BU34" s="35" t="n"/>
      <c r="BV34" s="35" t="n"/>
      <c r="BW34" s="35" t="n"/>
      <c r="BX34" s="35" t="n"/>
      <c r="BY34" s="35" t="n"/>
      <c r="BZ34" s="35" t="n"/>
      <c r="CA34" s="35" t="n"/>
      <c r="CB34" s="35" t="n"/>
      <c r="CC34" s="35" t="n"/>
      <c r="CD34" s="35" t="n"/>
    </row>
    <row r="35">
      <c r="A35" s="30" t="inlineStr">
        <is>
          <t>3.11</t>
        </is>
      </c>
      <c r="B35" s="31" t="inlineStr">
        <is>
          <t>Applications disposition — scoping only</t>
        </is>
      </c>
      <c r="C35" s="31" t="inlineStr">
        <is>
          <t>3 · Build and content load</t>
        </is>
      </c>
      <c r="D35" s="32" t="n">
        <v>8</v>
      </c>
      <c r="E35" s="33" t="n">
        <v>40</v>
      </c>
      <c r="F35" s="33" t="n">
        <v>46</v>
      </c>
      <c r="G35" s="35" t="n"/>
      <c r="H35" s="35" t="n"/>
      <c r="I35" s="35" t="n"/>
      <c r="J35" s="35" t="n"/>
      <c r="K35" s="35" t="n"/>
      <c r="L35" s="35" t="n"/>
      <c r="M35" s="35" t="n"/>
      <c r="N35" s="35" t="n"/>
      <c r="O35" s="35" t="n"/>
      <c r="P35" s="35" t="n"/>
      <c r="Q35" s="35" t="n"/>
      <c r="R35" s="35" t="n"/>
      <c r="S35" s="35" t="n"/>
      <c r="T35" s="35" t="n"/>
      <c r="U35" s="35" t="n"/>
      <c r="V35" s="35" t="n"/>
      <c r="W35" s="35" t="n"/>
      <c r="X35" s="35" t="n"/>
      <c r="Y35" s="35" t="n"/>
      <c r="Z35" s="35" t="n"/>
      <c r="AA35" s="35" t="n"/>
      <c r="AB35" s="35" t="n"/>
      <c r="AC35" s="35" t="n"/>
      <c r="AD35" s="35" t="n"/>
      <c r="AE35" s="36" t="n"/>
      <c r="AF35" s="36" t="n"/>
      <c r="AG35" s="36" t="n"/>
      <c r="AH35" s="36" t="n"/>
      <c r="AI35" s="36" t="n"/>
      <c r="AJ35" s="36" t="n"/>
      <c r="AK35" s="36" t="n"/>
      <c r="AL35" s="36" t="n"/>
      <c r="AM35" s="36" t="n"/>
      <c r="AN35" s="36" t="n"/>
      <c r="AO35" s="36" t="n"/>
      <c r="AP35" s="36" t="n"/>
      <c r="AQ35" s="35" t="n"/>
      <c r="AR35" s="35" t="n"/>
      <c r="AS35" s="35" t="n"/>
      <c r="AT35" s="40" t="n"/>
      <c r="AU35" s="40" t="n"/>
      <c r="AV35" s="40" t="n"/>
      <c r="AW35" s="40" t="n"/>
      <c r="AX35" s="40" t="n"/>
      <c r="AY35" s="40" t="n"/>
      <c r="AZ35" s="40" t="n"/>
      <c r="BA35" s="35" t="n"/>
      <c r="BB35" s="35" t="n"/>
      <c r="BC35" s="35" t="n"/>
      <c r="BD35" s="35" t="n"/>
      <c r="BE35" s="35" t="n"/>
      <c r="BF35" s="35" t="n"/>
      <c r="BG35" s="35" t="n"/>
      <c r="BH35" s="35" t="n"/>
      <c r="BI35" s="35" t="n"/>
      <c r="BJ35" s="35" t="n"/>
      <c r="BK35" s="35" t="n"/>
      <c r="BL35" s="35" t="n"/>
      <c r="BM35" s="35" t="n"/>
      <c r="BN35" s="35" t="n"/>
      <c r="BO35" s="35" t="n"/>
      <c r="BP35" s="35" t="n"/>
      <c r="BQ35" s="35" t="n"/>
      <c r="BR35" s="35" t="n"/>
      <c r="BS35" s="35" t="n"/>
      <c r="BT35" s="35" t="n"/>
      <c r="BU35" s="35" t="n"/>
      <c r="BV35" s="35" t="n"/>
      <c r="BW35" s="35" t="n"/>
      <c r="BX35" s="35" t="n"/>
      <c r="BY35" s="35" t="n"/>
      <c r="BZ35" s="35" t="n"/>
      <c r="CA35" s="35" t="n"/>
      <c r="CB35" s="35" t="n"/>
      <c r="CC35" s="35" t="n"/>
      <c r="CD35" s="35" t="n"/>
    </row>
    <row r="36">
      <c r="A36" s="30" t="inlineStr">
        <is>
          <t>3.12</t>
        </is>
      </c>
      <c r="B36" s="31" t="inlineStr">
        <is>
          <t>.सरकार.भारत IDN registration and configuration (registry fee nil)</t>
        </is>
      </c>
      <c r="C36" s="31" t="inlineStr">
        <is>
          <t>3 · Build and content load</t>
        </is>
      </c>
      <c r="D36" s="32" t="n">
        <v>3</v>
      </c>
      <c r="E36" s="33" t="n">
        <v>52</v>
      </c>
      <c r="F36" s="33" t="n">
        <v>55</v>
      </c>
      <c r="G36" s="35" t="n"/>
      <c r="H36" s="35" t="n"/>
      <c r="I36" s="35" t="n"/>
      <c r="J36" s="35" t="n"/>
      <c r="K36" s="35" t="n"/>
      <c r="L36" s="35" t="n"/>
      <c r="M36" s="35" t="n"/>
      <c r="N36" s="35" t="n"/>
      <c r="O36" s="35" t="n"/>
      <c r="P36" s="35" t="n"/>
      <c r="Q36" s="35" t="n"/>
      <c r="R36" s="35" t="n"/>
      <c r="S36" s="35" t="n"/>
      <c r="T36" s="35" t="n"/>
      <c r="U36" s="35" t="n"/>
      <c r="V36" s="35" t="n"/>
      <c r="W36" s="35" t="n"/>
      <c r="X36" s="35" t="n"/>
      <c r="Y36" s="35" t="n"/>
      <c r="Z36" s="35" t="n"/>
      <c r="AA36" s="35" t="n"/>
      <c r="AB36" s="35" t="n"/>
      <c r="AC36" s="35" t="n"/>
      <c r="AD36" s="35" t="n"/>
      <c r="AE36" s="36" t="n"/>
      <c r="AF36" s="36" t="n"/>
      <c r="AG36" s="36" t="n"/>
      <c r="AH36" s="36" t="n"/>
      <c r="AI36" s="36" t="n"/>
      <c r="AJ36" s="36" t="n"/>
      <c r="AK36" s="36" t="n"/>
      <c r="AL36" s="36" t="n"/>
      <c r="AM36" s="36" t="n"/>
      <c r="AN36" s="36" t="n"/>
      <c r="AO36" s="36" t="n"/>
      <c r="AP36" s="36" t="n"/>
      <c r="AQ36" s="35" t="n"/>
      <c r="AR36" s="35" t="n"/>
      <c r="AS36" s="35" t="n"/>
      <c r="AT36" s="35" t="n"/>
      <c r="AU36" s="35" t="n"/>
      <c r="AV36" s="35" t="n"/>
      <c r="AW36" s="35" t="n"/>
      <c r="AX36" s="35" t="n"/>
      <c r="AY36" s="35" t="n"/>
      <c r="AZ36" s="35" t="n"/>
      <c r="BA36" s="35" t="n"/>
      <c r="BB36" s="35" t="n"/>
      <c r="BC36" s="35" t="n"/>
      <c r="BD36" s="35" t="n"/>
      <c r="BE36" s="35" t="n"/>
      <c r="BF36" s="40" t="n"/>
      <c r="BG36" s="40" t="n"/>
      <c r="BH36" s="40" t="n"/>
      <c r="BI36" s="40" t="n"/>
      <c r="BJ36" s="35" t="n"/>
      <c r="BK36" s="35" t="n"/>
      <c r="BL36" s="35" t="n"/>
      <c r="BM36" s="35" t="n"/>
      <c r="BN36" s="35" t="n"/>
      <c r="BO36" s="35" t="n"/>
      <c r="BP36" s="35" t="n"/>
      <c r="BQ36" s="35" t="n"/>
      <c r="BR36" s="35" t="n"/>
      <c r="BS36" s="35" t="n"/>
      <c r="BT36" s="35" t="n"/>
      <c r="BU36" s="35" t="n"/>
      <c r="BV36" s="35" t="n"/>
      <c r="BW36" s="35" t="n"/>
      <c r="BX36" s="35" t="n"/>
      <c r="BY36" s="35" t="n"/>
      <c r="BZ36" s="35" t="n"/>
      <c r="CA36" s="35" t="n"/>
      <c r="CB36" s="35" t="n"/>
      <c r="CC36" s="35" t="n"/>
      <c r="CD36" s="35" t="n"/>
    </row>
    <row r="37">
      <c r="A37" s="30" t="inlineStr">
        <is>
          <t>3.14</t>
        </is>
      </c>
      <c r="B37" s="31" t="inlineStr">
        <is>
          <t>Editorial training and standard operating procedures</t>
        </is>
      </c>
      <c r="C37" s="31" t="inlineStr">
        <is>
          <t>3 · Build and content load</t>
        </is>
      </c>
      <c r="D37" s="32" t="n">
        <v>7.5</v>
      </c>
      <c r="E37" s="33" t="n">
        <v>52</v>
      </c>
      <c r="F37" s="33" t="n">
        <v>58</v>
      </c>
      <c r="G37" s="35" t="n"/>
      <c r="H37" s="35" t="n"/>
      <c r="I37" s="35" t="n"/>
      <c r="J37" s="35" t="n"/>
      <c r="K37" s="35" t="n"/>
      <c r="L37" s="35" t="n"/>
      <c r="M37" s="35" t="n"/>
      <c r="N37" s="35" t="n"/>
      <c r="O37" s="35" t="n"/>
      <c r="P37" s="35" t="n"/>
      <c r="Q37" s="35" t="n"/>
      <c r="R37" s="35" t="n"/>
      <c r="S37" s="35" t="n"/>
      <c r="T37" s="35" t="n"/>
      <c r="U37" s="35" t="n"/>
      <c r="V37" s="35" t="n"/>
      <c r="W37" s="35" t="n"/>
      <c r="X37" s="35" t="n"/>
      <c r="Y37" s="35" t="n"/>
      <c r="Z37" s="35" t="n"/>
      <c r="AA37" s="35" t="n"/>
      <c r="AB37" s="35" t="n"/>
      <c r="AC37" s="35" t="n"/>
      <c r="AD37" s="35" t="n"/>
      <c r="AE37" s="36" t="n"/>
      <c r="AF37" s="36" t="n"/>
      <c r="AG37" s="36" t="n"/>
      <c r="AH37" s="36" t="n"/>
      <c r="AI37" s="36" t="n"/>
      <c r="AJ37" s="36" t="n"/>
      <c r="AK37" s="36" t="n"/>
      <c r="AL37" s="36" t="n"/>
      <c r="AM37" s="36" t="n"/>
      <c r="AN37" s="36" t="n"/>
      <c r="AO37" s="36" t="n"/>
      <c r="AP37" s="36" t="n"/>
      <c r="AQ37" s="35" t="n"/>
      <c r="AR37" s="35" t="n"/>
      <c r="AS37" s="35" t="n"/>
      <c r="AT37" s="35" t="n"/>
      <c r="AU37" s="35" t="n"/>
      <c r="AV37" s="35" t="n"/>
      <c r="AW37" s="35" t="n"/>
      <c r="AX37" s="35" t="n"/>
      <c r="AY37" s="35" t="n"/>
      <c r="AZ37" s="35" t="n"/>
      <c r="BA37" s="35" t="n"/>
      <c r="BB37" s="35" t="n"/>
      <c r="BC37" s="35" t="n"/>
      <c r="BD37" s="35" t="n"/>
      <c r="BE37" s="35" t="n"/>
      <c r="BF37" s="40" t="n"/>
      <c r="BG37" s="40" t="n"/>
      <c r="BH37" s="40" t="n"/>
      <c r="BI37" s="40" t="n"/>
      <c r="BJ37" s="40" t="n"/>
      <c r="BK37" s="40" t="n"/>
      <c r="BL37" s="40" t="n"/>
      <c r="BM37" s="35" t="n"/>
      <c r="BN37" s="35" t="n"/>
      <c r="BO37" s="35" t="n"/>
      <c r="BP37" s="35" t="n"/>
      <c r="BQ37" s="35" t="n"/>
      <c r="BR37" s="35" t="n"/>
      <c r="BS37" s="35" t="n"/>
      <c r="BT37" s="35" t="n"/>
      <c r="BU37" s="35" t="n"/>
      <c r="BV37" s="35" t="n"/>
      <c r="BW37" s="35" t="n"/>
      <c r="BX37" s="35" t="n"/>
      <c r="BY37" s="35" t="n"/>
      <c r="BZ37" s="35" t="n"/>
      <c r="CA37" s="35" t="n"/>
      <c r="CB37" s="35" t="n"/>
      <c r="CC37" s="35" t="n"/>
      <c r="CD37" s="35" t="n"/>
    </row>
    <row r="38">
      <c r="A38" s="30" t="inlineStr">
        <is>
          <t>3.2</t>
        </is>
      </c>
      <c r="B38" s="31" t="inlineStr">
        <is>
          <t>Template mapping and the CCPS banner slot</t>
        </is>
      </c>
      <c r="C38" s="31" t="inlineStr">
        <is>
          <t>3 · Build and content load</t>
        </is>
      </c>
      <c r="D38" s="32" t="n">
        <v>7.8</v>
      </c>
      <c r="E38" s="33" t="n">
        <v>39</v>
      </c>
      <c r="F38" s="33" t="n">
        <v>44</v>
      </c>
      <c r="G38" s="35" t="n"/>
      <c r="H38" s="35" t="n"/>
      <c r="I38" s="35" t="n"/>
      <c r="J38" s="35" t="n"/>
      <c r="K38" s="35" t="n"/>
      <c r="L38" s="35" t="n"/>
      <c r="M38" s="35" t="n"/>
      <c r="N38" s="35" t="n"/>
      <c r="O38" s="35" t="n"/>
      <c r="P38" s="35" t="n"/>
      <c r="Q38" s="35" t="n"/>
      <c r="R38" s="35" t="n"/>
      <c r="S38" s="35" t="n"/>
      <c r="T38" s="35" t="n"/>
      <c r="U38" s="35" t="n"/>
      <c r="V38" s="35" t="n"/>
      <c r="W38" s="35" t="n"/>
      <c r="X38" s="35" t="n"/>
      <c r="Y38" s="35" t="n"/>
      <c r="Z38" s="35" t="n"/>
      <c r="AA38" s="35" t="n"/>
      <c r="AB38" s="35" t="n"/>
      <c r="AC38" s="35" t="n"/>
      <c r="AD38" s="35" t="n"/>
      <c r="AE38" s="36" t="n"/>
      <c r="AF38" s="36" t="n"/>
      <c r="AG38" s="36" t="n"/>
      <c r="AH38" s="36" t="n"/>
      <c r="AI38" s="36" t="n"/>
      <c r="AJ38" s="36" t="n"/>
      <c r="AK38" s="36" t="n"/>
      <c r="AL38" s="36" t="n"/>
      <c r="AM38" s="36" t="n"/>
      <c r="AN38" s="36" t="n"/>
      <c r="AO38" s="36" t="n"/>
      <c r="AP38" s="36" t="n"/>
      <c r="AQ38" s="35" t="n"/>
      <c r="AR38" s="35" t="n"/>
      <c r="AS38" s="40" t="n"/>
      <c r="AT38" s="40" t="n"/>
      <c r="AU38" s="40" t="n"/>
      <c r="AV38" s="40" t="n"/>
      <c r="AW38" s="40" t="n"/>
      <c r="AX38" s="40" t="n"/>
      <c r="AY38" s="35" t="n"/>
      <c r="AZ38" s="35" t="n"/>
      <c r="BA38" s="35" t="n"/>
      <c r="BB38" s="35" t="n"/>
      <c r="BC38" s="35" t="n"/>
      <c r="BD38" s="35" t="n"/>
      <c r="BE38" s="35" t="n"/>
      <c r="BF38" s="35" t="n"/>
      <c r="BG38" s="35" t="n"/>
      <c r="BH38" s="35" t="n"/>
      <c r="BI38" s="35" t="n"/>
      <c r="BJ38" s="35" t="n"/>
      <c r="BK38" s="35" t="n"/>
      <c r="BL38" s="35" t="n"/>
      <c r="BM38" s="35" t="n"/>
      <c r="BN38" s="35" t="n"/>
      <c r="BO38" s="35" t="n"/>
      <c r="BP38" s="35" t="n"/>
      <c r="BQ38" s="35" t="n"/>
      <c r="BR38" s="35" t="n"/>
      <c r="BS38" s="35" t="n"/>
      <c r="BT38" s="35" t="n"/>
      <c r="BU38" s="35" t="n"/>
      <c r="BV38" s="35" t="n"/>
      <c r="BW38" s="35" t="n"/>
      <c r="BX38" s="35" t="n"/>
      <c r="BY38" s="35" t="n"/>
      <c r="BZ38" s="35" t="n"/>
      <c r="CA38" s="35" t="n"/>
      <c r="CB38" s="35" t="n"/>
      <c r="CC38" s="35" t="n"/>
      <c r="CD38" s="35" t="n"/>
    </row>
    <row r="39">
      <c r="A39" s="30" t="inlineStr">
        <is>
          <t>3.3</t>
        </is>
      </c>
      <c r="B39" s="31" t="inlineStr">
        <is>
          <t>Platform configuration, roles, editorial workflow</t>
        </is>
      </c>
      <c r="C39" s="31" t="inlineStr">
        <is>
          <t>3 · Build and content load</t>
        </is>
      </c>
      <c r="D39" s="32" t="n">
        <v>7.5</v>
      </c>
      <c r="E39" s="33" t="n">
        <v>38</v>
      </c>
      <c r="F39" s="33" t="n">
        <v>43</v>
      </c>
      <c r="G39" s="35" t="n"/>
      <c r="H39" s="35" t="n"/>
      <c r="I39" s="35" t="n"/>
      <c r="J39" s="35" t="n"/>
      <c r="K39" s="35" t="n"/>
      <c r="L39" s="35" t="n"/>
      <c r="M39" s="35" t="n"/>
      <c r="N39" s="35" t="n"/>
      <c r="O39" s="35" t="n"/>
      <c r="P39" s="35" t="n"/>
      <c r="Q39" s="35" t="n"/>
      <c r="R39" s="35" t="n"/>
      <c r="S39" s="35" t="n"/>
      <c r="T39" s="35" t="n"/>
      <c r="U39" s="35" t="n"/>
      <c r="V39" s="35" t="n"/>
      <c r="W39" s="35" t="n"/>
      <c r="X39" s="35" t="n"/>
      <c r="Y39" s="35" t="n"/>
      <c r="Z39" s="35" t="n"/>
      <c r="AA39" s="35" t="n"/>
      <c r="AB39" s="35" t="n"/>
      <c r="AC39" s="35" t="n"/>
      <c r="AD39" s="35" t="n"/>
      <c r="AE39" s="36" t="n"/>
      <c r="AF39" s="36" t="n"/>
      <c r="AG39" s="36" t="n"/>
      <c r="AH39" s="36" t="n"/>
      <c r="AI39" s="36" t="n"/>
      <c r="AJ39" s="36" t="n"/>
      <c r="AK39" s="36" t="n"/>
      <c r="AL39" s="36" t="n"/>
      <c r="AM39" s="36" t="n"/>
      <c r="AN39" s="36" t="n"/>
      <c r="AO39" s="36" t="n"/>
      <c r="AP39" s="36" t="n"/>
      <c r="AQ39" s="35" t="n"/>
      <c r="AR39" s="40" t="n"/>
      <c r="AS39" s="40" t="n"/>
      <c r="AT39" s="40" t="n"/>
      <c r="AU39" s="40" t="n"/>
      <c r="AV39" s="40" t="n"/>
      <c r="AW39" s="40" t="n"/>
      <c r="AX39" s="35" t="n"/>
      <c r="AY39" s="35" t="n"/>
      <c r="AZ39" s="35" t="n"/>
      <c r="BA39" s="35" t="n"/>
      <c r="BB39" s="35" t="n"/>
      <c r="BC39" s="35" t="n"/>
      <c r="BD39" s="35" t="n"/>
      <c r="BE39" s="35" t="n"/>
      <c r="BF39" s="35" t="n"/>
      <c r="BG39" s="35" t="n"/>
      <c r="BH39" s="35" t="n"/>
      <c r="BI39" s="35" t="n"/>
      <c r="BJ39" s="35" t="n"/>
      <c r="BK39" s="35" t="n"/>
      <c r="BL39" s="35" t="n"/>
      <c r="BM39" s="35" t="n"/>
      <c r="BN39" s="35" t="n"/>
      <c r="BO39" s="35" t="n"/>
      <c r="BP39" s="35" t="n"/>
      <c r="BQ39" s="35" t="n"/>
      <c r="BR39" s="35" t="n"/>
      <c r="BS39" s="35" t="n"/>
      <c r="BT39" s="35" t="n"/>
      <c r="BU39" s="35" t="n"/>
      <c r="BV39" s="35" t="n"/>
      <c r="BW39" s="35" t="n"/>
      <c r="BX39" s="35" t="n"/>
      <c r="BY39" s="35" t="n"/>
      <c r="BZ39" s="35" t="n"/>
      <c r="CA39" s="35" t="n"/>
      <c r="CB39" s="35" t="n"/>
      <c r="CC39" s="35" t="n"/>
      <c r="CD39" s="35" t="n"/>
    </row>
    <row r="40">
      <c r="A40" s="30" t="inlineStr">
        <is>
          <t>3.4</t>
        </is>
      </c>
      <c r="B40" s="31" t="inlineStr">
        <is>
          <t>Content mapping, authoring supervision and QA — no bulk import exists</t>
        </is>
      </c>
      <c r="C40" s="31" t="inlineStr">
        <is>
          <t>3 · Build and content load</t>
        </is>
      </c>
      <c r="D40" s="32" t="n">
        <v>15.5</v>
      </c>
      <c r="E40" s="33" t="n">
        <v>42</v>
      </c>
      <c r="F40" s="33" t="n">
        <v>56</v>
      </c>
      <c r="G40" s="35" t="n"/>
      <c r="H40" s="35" t="n"/>
      <c r="I40" s="35" t="n"/>
      <c r="J40" s="35" t="n"/>
      <c r="K40" s="35" t="n"/>
      <c r="L40" s="35" t="n"/>
      <c r="M40" s="35" t="n"/>
      <c r="N40" s="35" t="n"/>
      <c r="O40" s="35" t="n"/>
      <c r="P40" s="35" t="n"/>
      <c r="Q40" s="35" t="n"/>
      <c r="R40" s="35" t="n"/>
      <c r="S40" s="35" t="n"/>
      <c r="T40" s="35" t="n"/>
      <c r="U40" s="35" t="n"/>
      <c r="V40" s="35" t="n"/>
      <c r="W40" s="35" t="n"/>
      <c r="X40" s="35" t="n"/>
      <c r="Y40" s="35" t="n"/>
      <c r="Z40" s="35" t="n"/>
      <c r="AA40" s="35" t="n"/>
      <c r="AB40" s="35" t="n"/>
      <c r="AC40" s="35" t="n"/>
      <c r="AD40" s="35" t="n"/>
      <c r="AE40" s="36" t="n"/>
      <c r="AF40" s="36" t="n"/>
      <c r="AG40" s="36" t="n"/>
      <c r="AH40" s="36" t="n"/>
      <c r="AI40" s="36" t="n"/>
      <c r="AJ40" s="36" t="n"/>
      <c r="AK40" s="36" t="n"/>
      <c r="AL40" s="36" t="n"/>
      <c r="AM40" s="36" t="n"/>
      <c r="AN40" s="36" t="n"/>
      <c r="AO40" s="36" t="n"/>
      <c r="AP40" s="36" t="n"/>
      <c r="AQ40" s="35" t="n"/>
      <c r="AR40" s="35" t="n"/>
      <c r="AS40" s="35" t="n"/>
      <c r="AT40" s="35" t="n"/>
      <c r="AU40" s="35" t="n"/>
      <c r="AV40" s="40" t="n"/>
      <c r="AW40" s="40" t="n"/>
      <c r="AX40" s="40" t="n"/>
      <c r="AY40" s="40" t="n"/>
      <c r="AZ40" s="40" t="n"/>
      <c r="BA40" s="40" t="n"/>
      <c r="BB40" s="40" t="n"/>
      <c r="BC40" s="40" t="n"/>
      <c r="BD40" s="40" t="n"/>
      <c r="BE40" s="40" t="n"/>
      <c r="BF40" s="40" t="n"/>
      <c r="BG40" s="40" t="n"/>
      <c r="BH40" s="40" t="n"/>
      <c r="BI40" s="40" t="n"/>
      <c r="BJ40" s="40" t="n"/>
      <c r="BK40" s="35" t="n"/>
      <c r="BL40" s="35" t="n"/>
      <c r="BM40" s="35" t="n"/>
      <c r="BN40" s="35" t="n"/>
      <c r="BO40" s="35" t="n"/>
      <c r="BP40" s="35" t="n"/>
      <c r="BQ40" s="35" t="n"/>
      <c r="BR40" s="35" t="n"/>
      <c r="BS40" s="35" t="n"/>
      <c r="BT40" s="35" t="n"/>
      <c r="BU40" s="35" t="n"/>
      <c r="BV40" s="35" t="n"/>
      <c r="BW40" s="35" t="n"/>
      <c r="BX40" s="35" t="n"/>
      <c r="BY40" s="35" t="n"/>
      <c r="BZ40" s="35" t="n"/>
      <c r="CA40" s="35" t="n"/>
      <c r="CB40" s="35" t="n"/>
      <c r="CC40" s="35" t="n"/>
      <c r="CD40" s="35" t="n"/>
    </row>
    <row r="41">
      <c r="A41" s="30" t="inlineStr">
        <is>
          <t>3.5</t>
        </is>
      </c>
      <c r="B41" s="31" t="inlineStr">
        <is>
          <t>Content load — Hindi, byte-verified</t>
        </is>
      </c>
      <c r="C41" s="31" t="inlineStr">
        <is>
          <t>3 · Build and content load</t>
        </is>
      </c>
      <c r="D41" s="32" t="n">
        <v>6.2</v>
      </c>
      <c r="E41" s="33" t="n">
        <v>48</v>
      </c>
      <c r="F41" s="33" t="n">
        <v>54</v>
      </c>
      <c r="G41" s="35" t="n"/>
      <c r="H41" s="35" t="n"/>
      <c r="I41" s="35" t="n"/>
      <c r="J41" s="35" t="n"/>
      <c r="K41" s="35" t="n"/>
      <c r="L41" s="35" t="n"/>
      <c r="M41" s="35" t="n"/>
      <c r="N41" s="35" t="n"/>
      <c r="O41" s="35" t="n"/>
      <c r="P41" s="35" t="n"/>
      <c r="Q41" s="35" t="n"/>
      <c r="R41" s="35" t="n"/>
      <c r="S41" s="35" t="n"/>
      <c r="T41" s="35" t="n"/>
      <c r="U41" s="35" t="n"/>
      <c r="V41" s="35" t="n"/>
      <c r="W41" s="35" t="n"/>
      <c r="X41" s="35" t="n"/>
      <c r="Y41" s="35" t="n"/>
      <c r="Z41" s="35" t="n"/>
      <c r="AA41" s="35" t="n"/>
      <c r="AB41" s="35" t="n"/>
      <c r="AC41" s="35" t="n"/>
      <c r="AD41" s="35" t="n"/>
      <c r="AE41" s="36" t="n"/>
      <c r="AF41" s="36" t="n"/>
      <c r="AG41" s="36" t="n"/>
      <c r="AH41" s="36" t="n"/>
      <c r="AI41" s="36" t="n"/>
      <c r="AJ41" s="36" t="n"/>
      <c r="AK41" s="36" t="n"/>
      <c r="AL41" s="36" t="n"/>
      <c r="AM41" s="36" t="n"/>
      <c r="AN41" s="36" t="n"/>
      <c r="AO41" s="36" t="n"/>
      <c r="AP41" s="36" t="n"/>
      <c r="AQ41" s="35" t="n"/>
      <c r="AR41" s="35" t="n"/>
      <c r="AS41" s="35" t="n"/>
      <c r="AT41" s="35" t="n"/>
      <c r="AU41" s="35" t="n"/>
      <c r="AV41" s="35" t="n"/>
      <c r="AW41" s="35" t="n"/>
      <c r="AX41" s="35" t="n"/>
      <c r="AY41" s="35" t="n"/>
      <c r="AZ41" s="35" t="n"/>
      <c r="BA41" s="35" t="n"/>
      <c r="BB41" s="40" t="n"/>
      <c r="BC41" s="40" t="n"/>
      <c r="BD41" s="40" t="n"/>
      <c r="BE41" s="40" t="n"/>
      <c r="BF41" s="40" t="n"/>
      <c r="BG41" s="40" t="n"/>
      <c r="BH41" s="40" t="n"/>
      <c r="BI41" s="35" t="n"/>
      <c r="BJ41" s="35" t="n"/>
      <c r="BK41" s="35" t="n"/>
      <c r="BL41" s="35" t="n"/>
      <c r="BM41" s="35" t="n"/>
      <c r="BN41" s="35" t="n"/>
      <c r="BO41" s="35" t="n"/>
      <c r="BP41" s="35" t="n"/>
      <c r="BQ41" s="35" t="n"/>
      <c r="BR41" s="35" t="n"/>
      <c r="BS41" s="35" t="n"/>
      <c r="BT41" s="35" t="n"/>
      <c r="BU41" s="35" t="n"/>
      <c r="BV41" s="35" t="n"/>
      <c r="BW41" s="35" t="n"/>
      <c r="BX41" s="35" t="n"/>
      <c r="BY41" s="35" t="n"/>
      <c r="BZ41" s="35" t="n"/>
      <c r="CA41" s="35" t="n"/>
      <c r="CB41" s="35" t="n"/>
      <c r="CC41" s="35" t="n"/>
      <c r="CD41" s="35" t="n"/>
    </row>
    <row r="42">
      <c r="A42" s="30" t="inlineStr">
        <is>
          <t>3.7</t>
        </is>
      </c>
      <c r="B42" s="31" t="inlineStr">
        <is>
          <t>Document register: categorisation scheme, priority tiers, bilingual flags</t>
        </is>
      </c>
      <c r="C42" s="31" t="inlineStr">
        <is>
          <t>3 · Build and content load</t>
        </is>
      </c>
      <c r="D42" s="32" t="n">
        <v>9.4</v>
      </c>
      <c r="E42" s="33" t="n">
        <v>43</v>
      </c>
      <c r="F42" s="33" t="n">
        <v>50</v>
      </c>
      <c r="G42" s="35" t="n"/>
      <c r="H42" s="35" t="n"/>
      <c r="I42" s="35" t="n"/>
      <c r="J42" s="35" t="n"/>
      <c r="K42" s="35" t="n"/>
      <c r="L42" s="35" t="n"/>
      <c r="M42" s="35" t="n"/>
      <c r="N42" s="35" t="n"/>
      <c r="O42" s="35" t="n"/>
      <c r="P42" s="35" t="n"/>
      <c r="Q42" s="35" t="n"/>
      <c r="R42" s="35" t="n"/>
      <c r="S42" s="35" t="n"/>
      <c r="T42" s="35" t="n"/>
      <c r="U42" s="35" t="n"/>
      <c r="V42" s="35" t="n"/>
      <c r="W42" s="35" t="n"/>
      <c r="X42" s="35" t="n"/>
      <c r="Y42" s="35" t="n"/>
      <c r="Z42" s="35" t="n"/>
      <c r="AA42" s="35" t="n"/>
      <c r="AB42" s="35" t="n"/>
      <c r="AC42" s="35" t="n"/>
      <c r="AD42" s="35" t="n"/>
      <c r="AE42" s="36" t="n"/>
      <c r="AF42" s="36" t="n"/>
      <c r="AG42" s="36" t="n"/>
      <c r="AH42" s="36" t="n"/>
      <c r="AI42" s="36" t="n"/>
      <c r="AJ42" s="36" t="n"/>
      <c r="AK42" s="36" t="n"/>
      <c r="AL42" s="36" t="n"/>
      <c r="AM42" s="36" t="n"/>
      <c r="AN42" s="36" t="n"/>
      <c r="AO42" s="36" t="n"/>
      <c r="AP42" s="36" t="n"/>
      <c r="AQ42" s="35" t="n"/>
      <c r="AR42" s="35" t="n"/>
      <c r="AS42" s="35" t="n"/>
      <c r="AT42" s="35" t="n"/>
      <c r="AU42" s="35" t="n"/>
      <c r="AV42" s="35" t="n"/>
      <c r="AW42" s="40" t="n"/>
      <c r="AX42" s="40" t="n"/>
      <c r="AY42" s="40" t="n"/>
      <c r="AZ42" s="40" t="n"/>
      <c r="BA42" s="40" t="n"/>
      <c r="BB42" s="40" t="n"/>
      <c r="BC42" s="40" t="n"/>
      <c r="BD42" s="40" t="n"/>
      <c r="BE42" s="35" t="n"/>
      <c r="BF42" s="35" t="n"/>
      <c r="BG42" s="35" t="n"/>
      <c r="BH42" s="35" t="n"/>
      <c r="BI42" s="35" t="n"/>
      <c r="BJ42" s="35" t="n"/>
      <c r="BK42" s="35" t="n"/>
      <c r="BL42" s="35" t="n"/>
      <c r="BM42" s="35" t="n"/>
      <c r="BN42" s="35" t="n"/>
      <c r="BO42" s="35" t="n"/>
      <c r="BP42" s="35" t="n"/>
      <c r="BQ42" s="35" t="n"/>
      <c r="BR42" s="35" t="n"/>
      <c r="BS42" s="35" t="n"/>
      <c r="BT42" s="35" t="n"/>
      <c r="BU42" s="35" t="n"/>
      <c r="BV42" s="35" t="n"/>
      <c r="BW42" s="35" t="n"/>
      <c r="BX42" s="35" t="n"/>
      <c r="BY42" s="35" t="n"/>
      <c r="BZ42" s="35" t="n"/>
      <c r="CA42" s="35" t="n"/>
      <c r="CB42" s="35" t="n"/>
      <c r="CC42" s="35" t="n"/>
      <c r="CD42" s="35" t="n"/>
    </row>
    <row r="43">
      <c r="A43" s="30" t="inlineStr">
        <is>
          <t>3.9</t>
        </is>
      </c>
      <c r="B43" s="31" t="inlineStr">
        <is>
          <t>Accessibility conformance — 9 templates, one covering 83% of pages</t>
        </is>
      </c>
      <c r="C43" s="31" t="inlineStr">
        <is>
          <t>3 · Build and content load</t>
        </is>
      </c>
      <c r="D43" s="32" t="n">
        <v>13.9</v>
      </c>
      <c r="E43" s="33" t="n">
        <v>46</v>
      </c>
      <c r="F43" s="33" t="n">
        <v>58</v>
      </c>
      <c r="G43" s="35" t="n"/>
      <c r="H43" s="35" t="n"/>
      <c r="I43" s="35" t="n"/>
      <c r="J43" s="35" t="n"/>
      <c r="K43" s="35" t="n"/>
      <c r="L43" s="35" t="n"/>
      <c r="M43" s="35" t="n"/>
      <c r="N43" s="35" t="n"/>
      <c r="O43" s="35" t="n"/>
      <c r="P43" s="35" t="n"/>
      <c r="Q43" s="35" t="n"/>
      <c r="R43" s="35" t="n"/>
      <c r="S43" s="35" t="n"/>
      <c r="T43" s="35" t="n"/>
      <c r="U43" s="35" t="n"/>
      <c r="V43" s="35" t="n"/>
      <c r="W43" s="35" t="n"/>
      <c r="X43" s="35" t="n"/>
      <c r="Y43" s="35" t="n"/>
      <c r="Z43" s="35" t="n"/>
      <c r="AA43" s="35" t="n"/>
      <c r="AB43" s="35" t="n"/>
      <c r="AC43" s="35" t="n"/>
      <c r="AD43" s="35" t="n"/>
      <c r="AE43" s="36" t="n"/>
      <c r="AF43" s="36" t="n"/>
      <c r="AG43" s="36" t="n"/>
      <c r="AH43" s="36" t="n"/>
      <c r="AI43" s="36" t="n"/>
      <c r="AJ43" s="36" t="n"/>
      <c r="AK43" s="36" t="n"/>
      <c r="AL43" s="36" t="n"/>
      <c r="AM43" s="36" t="n"/>
      <c r="AN43" s="36" t="n"/>
      <c r="AO43" s="36" t="n"/>
      <c r="AP43" s="36" t="n"/>
      <c r="AQ43" s="35" t="n"/>
      <c r="AR43" s="35" t="n"/>
      <c r="AS43" s="35" t="n"/>
      <c r="AT43" s="35" t="n"/>
      <c r="AU43" s="35" t="n"/>
      <c r="AV43" s="35" t="n"/>
      <c r="AW43" s="35" t="n"/>
      <c r="AX43" s="35" t="n"/>
      <c r="AY43" s="35" t="n"/>
      <c r="AZ43" s="40" t="n"/>
      <c r="BA43" s="40" t="n"/>
      <c r="BB43" s="40" t="n"/>
      <c r="BC43" s="40" t="n"/>
      <c r="BD43" s="40" t="n"/>
      <c r="BE43" s="40" t="n"/>
      <c r="BF43" s="40" t="n"/>
      <c r="BG43" s="40" t="n"/>
      <c r="BH43" s="40" t="n"/>
      <c r="BI43" s="40" t="n"/>
      <c r="BJ43" s="40" t="n"/>
      <c r="BK43" s="40" t="n"/>
      <c r="BL43" s="40" t="n"/>
      <c r="BM43" s="35" t="n"/>
      <c r="BN43" s="35" t="n"/>
      <c r="BO43" s="35" t="n"/>
      <c r="BP43" s="35" t="n"/>
      <c r="BQ43" s="35" t="n"/>
      <c r="BR43" s="35" t="n"/>
      <c r="BS43" s="35" t="n"/>
      <c r="BT43" s="35" t="n"/>
      <c r="BU43" s="35" t="n"/>
      <c r="BV43" s="35" t="n"/>
      <c r="BW43" s="35" t="n"/>
      <c r="BX43" s="35" t="n"/>
      <c r="BY43" s="35" t="n"/>
      <c r="BZ43" s="35" t="n"/>
      <c r="CA43" s="35" t="n"/>
      <c r="CB43" s="35" t="n"/>
      <c r="CC43" s="35" t="n"/>
      <c r="CD43" s="35" t="n"/>
    </row>
    <row r="44">
      <c r="A44" s="30" t="inlineStr">
        <is>
          <t>4.1</t>
        </is>
      </c>
      <c r="B44" s="31" t="inlineStr">
        <is>
          <t>Pre-audit hardening and pre-clearance of the obvious</t>
        </is>
      </c>
      <c r="C44" s="31" t="inlineStr">
        <is>
          <t>4 · Audit and clearance</t>
        </is>
      </c>
      <c r="D44" s="32" t="n">
        <v>7.8</v>
      </c>
      <c r="E44" s="33" t="n">
        <v>57</v>
      </c>
      <c r="F44" s="33" t="n">
        <v>61</v>
      </c>
      <c r="G44" s="35" t="n"/>
      <c r="H44" s="35" t="n"/>
      <c r="I44" s="35" t="n"/>
      <c r="J44" s="35" t="n"/>
      <c r="K44" s="35" t="n"/>
      <c r="L44" s="35" t="n"/>
      <c r="M44" s="35" t="n"/>
      <c r="N44" s="35" t="n"/>
      <c r="O44" s="35" t="n"/>
      <c r="P44" s="35" t="n"/>
      <c r="Q44" s="35" t="n"/>
      <c r="R44" s="35" t="n"/>
      <c r="S44" s="35" t="n"/>
      <c r="T44" s="35" t="n"/>
      <c r="U44" s="35" t="n"/>
      <c r="V44" s="35" t="n"/>
      <c r="W44" s="35" t="n"/>
      <c r="X44" s="35" t="n"/>
      <c r="Y44" s="35" t="n"/>
      <c r="Z44" s="35" t="n"/>
      <c r="AA44" s="35" t="n"/>
      <c r="AB44" s="35" t="n"/>
      <c r="AC44" s="35" t="n"/>
      <c r="AD44" s="35" t="n"/>
      <c r="AE44" s="36" t="n"/>
      <c r="AF44" s="36" t="n"/>
      <c r="AG44" s="36" t="n"/>
      <c r="AH44" s="36" t="n"/>
      <c r="AI44" s="36" t="n"/>
      <c r="AJ44" s="36" t="n"/>
      <c r="AK44" s="36" t="n"/>
      <c r="AL44" s="36" t="n"/>
      <c r="AM44" s="36" t="n"/>
      <c r="AN44" s="36" t="n"/>
      <c r="AO44" s="36" t="n"/>
      <c r="AP44" s="36" t="n"/>
      <c r="AQ44" s="35" t="n"/>
      <c r="AR44" s="35" t="n"/>
      <c r="AS44" s="35" t="n"/>
      <c r="AT44" s="35" t="n"/>
      <c r="AU44" s="35" t="n"/>
      <c r="AV44" s="35" t="n"/>
      <c r="AW44" s="35" t="n"/>
      <c r="AX44" s="35" t="n"/>
      <c r="AY44" s="35" t="n"/>
      <c r="AZ44" s="35" t="n"/>
      <c r="BA44" s="35" t="n"/>
      <c r="BB44" s="35" t="n"/>
      <c r="BC44" s="35" t="n"/>
      <c r="BD44" s="35" t="n"/>
      <c r="BE44" s="35" t="n"/>
      <c r="BF44" s="35" t="n"/>
      <c r="BG44" s="35" t="n"/>
      <c r="BH44" s="35" t="n"/>
      <c r="BI44" s="35" t="n"/>
      <c r="BJ44" s="35" t="n"/>
      <c r="BK44" s="41" t="n"/>
      <c r="BL44" s="41" t="n"/>
      <c r="BM44" s="41" t="n"/>
      <c r="BN44" s="41" t="n"/>
      <c r="BO44" s="41" t="n"/>
      <c r="BP44" s="35" t="n"/>
      <c r="BQ44" s="35" t="n"/>
      <c r="BR44" s="35" t="n"/>
      <c r="BS44" s="35" t="n"/>
      <c r="BT44" s="35" t="n"/>
      <c r="BU44" s="35" t="n"/>
      <c r="BV44" s="35" t="n"/>
      <c r="BW44" s="35" t="n"/>
      <c r="BX44" s="35" t="n"/>
      <c r="BY44" s="35" t="n"/>
      <c r="BZ44" s="35" t="n"/>
      <c r="CA44" s="35" t="n"/>
      <c r="CB44" s="35" t="n"/>
      <c r="CC44" s="35" t="n"/>
      <c r="CD44" s="35" t="n"/>
    </row>
    <row r="45">
      <c r="A45" s="30" t="inlineStr">
        <is>
          <t>4.2</t>
        </is>
      </c>
      <c r="B45" s="31" t="inlineStr">
        <is>
          <t>Auditor procurement and pre-audit paperwork</t>
        </is>
      </c>
      <c r="C45" s="31" t="inlineStr">
        <is>
          <t>4 · Audit and clearance</t>
        </is>
      </c>
      <c r="D45" s="32" t="n">
        <v>4.8</v>
      </c>
      <c r="E45" s="33" t="n">
        <v>54</v>
      </c>
      <c r="F45" s="33" t="n">
        <v>62</v>
      </c>
      <c r="G45" s="35" t="n"/>
      <c r="H45" s="35" t="n"/>
      <c r="I45" s="35" t="n"/>
      <c r="J45" s="35" t="n"/>
      <c r="K45" s="35" t="n"/>
      <c r="L45" s="35" t="n"/>
      <c r="M45" s="35" t="n"/>
      <c r="N45" s="35" t="n"/>
      <c r="O45" s="35" t="n"/>
      <c r="P45" s="35" t="n"/>
      <c r="Q45" s="35" t="n"/>
      <c r="R45" s="35" t="n"/>
      <c r="S45" s="35" t="n"/>
      <c r="T45" s="35" t="n"/>
      <c r="U45" s="35" t="n"/>
      <c r="V45" s="35" t="n"/>
      <c r="W45" s="35" t="n"/>
      <c r="X45" s="35" t="n"/>
      <c r="Y45" s="35" t="n"/>
      <c r="Z45" s="35" t="n"/>
      <c r="AA45" s="35" t="n"/>
      <c r="AB45" s="35" t="n"/>
      <c r="AC45" s="35" t="n"/>
      <c r="AD45" s="35" t="n"/>
      <c r="AE45" s="36" t="n"/>
      <c r="AF45" s="36" t="n"/>
      <c r="AG45" s="36" t="n"/>
      <c r="AH45" s="36" t="n"/>
      <c r="AI45" s="36" t="n"/>
      <c r="AJ45" s="36" t="n"/>
      <c r="AK45" s="36" t="n"/>
      <c r="AL45" s="36" t="n"/>
      <c r="AM45" s="36" t="n"/>
      <c r="AN45" s="36" t="n"/>
      <c r="AO45" s="36" t="n"/>
      <c r="AP45" s="36" t="n"/>
      <c r="AQ45" s="35" t="n"/>
      <c r="AR45" s="35" t="n"/>
      <c r="AS45" s="35" t="n"/>
      <c r="AT45" s="35" t="n"/>
      <c r="AU45" s="35" t="n"/>
      <c r="AV45" s="35" t="n"/>
      <c r="AW45" s="35" t="n"/>
      <c r="AX45" s="35" t="n"/>
      <c r="AY45" s="35" t="n"/>
      <c r="AZ45" s="35" t="n"/>
      <c r="BA45" s="35" t="n"/>
      <c r="BB45" s="35" t="n"/>
      <c r="BC45" s="35" t="n"/>
      <c r="BD45" s="35" t="n"/>
      <c r="BE45" s="35" t="n"/>
      <c r="BF45" s="35" t="n"/>
      <c r="BG45" s="35" t="n"/>
      <c r="BH45" s="41" t="n"/>
      <c r="BI45" s="41" t="n"/>
      <c r="BJ45" s="41" t="n"/>
      <c r="BK45" s="41" t="n"/>
      <c r="BL45" s="41" t="n"/>
      <c r="BM45" s="41" t="n"/>
      <c r="BN45" s="41" t="n"/>
      <c r="BO45" s="41" t="n"/>
      <c r="BP45" s="41" t="n"/>
      <c r="BQ45" s="35" t="n"/>
      <c r="BR45" s="35" t="n"/>
      <c r="BS45" s="35" t="n"/>
      <c r="BT45" s="35" t="n"/>
      <c r="BU45" s="35" t="n"/>
      <c r="BV45" s="35" t="n"/>
      <c r="BW45" s="35" t="n"/>
      <c r="BX45" s="35" t="n"/>
      <c r="BY45" s="35" t="n"/>
      <c r="BZ45" s="35" t="n"/>
      <c r="CA45" s="35" t="n"/>
      <c r="CB45" s="35" t="n"/>
      <c r="CC45" s="35" t="n"/>
      <c r="CD45" s="35" t="n"/>
    </row>
    <row r="46">
      <c r="A46" s="30" t="inlineStr">
        <is>
          <t>4.3</t>
        </is>
      </c>
      <c r="B46" s="31" t="inlineStr">
        <is>
          <t>VAPT cycle 1 and remediation</t>
        </is>
      </c>
      <c r="C46" s="31" t="inlineStr">
        <is>
          <t>4 · Audit and clearance</t>
        </is>
      </c>
      <c r="D46" s="32" t="n">
        <v>11</v>
      </c>
      <c r="E46" s="33" t="n">
        <v>62</v>
      </c>
      <c r="F46" s="33" t="n">
        <v>67</v>
      </c>
      <c r="G46" s="35" t="n"/>
      <c r="H46" s="35" t="n"/>
      <c r="I46" s="35" t="n"/>
      <c r="J46" s="35" t="n"/>
      <c r="K46" s="35" t="n"/>
      <c r="L46" s="35" t="n"/>
      <c r="M46" s="35" t="n"/>
      <c r="N46" s="35" t="n"/>
      <c r="O46" s="35" t="n"/>
      <c r="P46" s="35" t="n"/>
      <c r="Q46" s="35" t="n"/>
      <c r="R46" s="35" t="n"/>
      <c r="S46" s="35" t="n"/>
      <c r="T46" s="35" t="n"/>
      <c r="U46" s="35" t="n"/>
      <c r="V46" s="35" t="n"/>
      <c r="W46" s="35" t="n"/>
      <c r="X46" s="35" t="n"/>
      <c r="Y46" s="35" t="n"/>
      <c r="Z46" s="35" t="n"/>
      <c r="AA46" s="35" t="n"/>
      <c r="AB46" s="35" t="n"/>
      <c r="AC46" s="35" t="n"/>
      <c r="AD46" s="35" t="n"/>
      <c r="AE46" s="36" t="n"/>
      <c r="AF46" s="36" t="n"/>
      <c r="AG46" s="36" t="n"/>
      <c r="AH46" s="36" t="n"/>
      <c r="AI46" s="36" t="n"/>
      <c r="AJ46" s="36" t="n"/>
      <c r="AK46" s="36" t="n"/>
      <c r="AL46" s="36" t="n"/>
      <c r="AM46" s="36" t="n"/>
      <c r="AN46" s="36" t="n"/>
      <c r="AO46" s="36" t="n"/>
      <c r="AP46" s="36" t="n"/>
      <c r="AQ46" s="35" t="n"/>
      <c r="AR46" s="35" t="n"/>
      <c r="AS46" s="35" t="n"/>
      <c r="AT46" s="35" t="n"/>
      <c r="AU46" s="35" t="n"/>
      <c r="AV46" s="35" t="n"/>
      <c r="AW46" s="35" t="n"/>
      <c r="AX46" s="35" t="n"/>
      <c r="AY46" s="35" t="n"/>
      <c r="AZ46" s="35" t="n"/>
      <c r="BA46" s="35" t="n"/>
      <c r="BB46" s="35" t="n"/>
      <c r="BC46" s="35" t="n"/>
      <c r="BD46" s="35" t="n"/>
      <c r="BE46" s="35" t="n"/>
      <c r="BF46" s="35" t="n"/>
      <c r="BG46" s="35" t="n"/>
      <c r="BH46" s="35" t="n"/>
      <c r="BI46" s="35" t="n"/>
      <c r="BJ46" s="35" t="n"/>
      <c r="BK46" s="35" t="n"/>
      <c r="BL46" s="35" t="n"/>
      <c r="BM46" s="35" t="n"/>
      <c r="BN46" s="35" t="n"/>
      <c r="BO46" s="35" t="n"/>
      <c r="BP46" s="41" t="n"/>
      <c r="BQ46" s="41" t="n"/>
      <c r="BR46" s="41" t="n"/>
      <c r="BS46" s="41" t="n"/>
      <c r="BT46" s="41" t="n"/>
      <c r="BU46" s="41" t="n"/>
      <c r="BV46" s="35" t="n"/>
      <c r="BW46" s="35" t="n"/>
      <c r="BX46" s="35" t="n"/>
      <c r="BY46" s="35" t="n"/>
      <c r="BZ46" s="35" t="n"/>
      <c r="CA46" s="35" t="n"/>
      <c r="CB46" s="35" t="n"/>
      <c r="CC46" s="35" t="n"/>
      <c r="CD46" s="35" t="n"/>
    </row>
    <row r="47">
      <c r="A47" s="30" t="inlineStr">
        <is>
          <t>4.4</t>
        </is>
      </c>
      <c r="B47" s="31" t="inlineStr">
        <is>
          <t>Retest and closure</t>
        </is>
      </c>
      <c r="C47" s="31" t="inlineStr">
        <is>
          <t>4 · Audit and clearance</t>
        </is>
      </c>
      <c r="D47" s="32" t="n">
        <v>5</v>
      </c>
      <c r="E47" s="33" t="n">
        <v>67</v>
      </c>
      <c r="F47" s="33" t="n">
        <v>69</v>
      </c>
      <c r="G47" s="35" t="n"/>
      <c r="H47" s="35" t="n"/>
      <c r="I47" s="35" t="n"/>
      <c r="J47" s="35" t="n"/>
      <c r="K47" s="35" t="n"/>
      <c r="L47" s="35" t="n"/>
      <c r="M47" s="35" t="n"/>
      <c r="N47" s="35" t="n"/>
      <c r="O47" s="35" t="n"/>
      <c r="P47" s="35" t="n"/>
      <c r="Q47" s="35" t="n"/>
      <c r="R47" s="35" t="n"/>
      <c r="S47" s="35" t="n"/>
      <c r="T47" s="35" t="n"/>
      <c r="U47" s="35" t="n"/>
      <c r="V47" s="35" t="n"/>
      <c r="W47" s="35" t="n"/>
      <c r="X47" s="35" t="n"/>
      <c r="Y47" s="35" t="n"/>
      <c r="Z47" s="35" t="n"/>
      <c r="AA47" s="35" t="n"/>
      <c r="AB47" s="35" t="n"/>
      <c r="AC47" s="35" t="n"/>
      <c r="AD47" s="35" t="n"/>
      <c r="AE47" s="36" t="n"/>
      <c r="AF47" s="36" t="n"/>
      <c r="AG47" s="36" t="n"/>
      <c r="AH47" s="36" t="n"/>
      <c r="AI47" s="36" t="n"/>
      <c r="AJ47" s="36" t="n"/>
      <c r="AK47" s="36" t="n"/>
      <c r="AL47" s="36" t="n"/>
      <c r="AM47" s="36" t="n"/>
      <c r="AN47" s="36" t="n"/>
      <c r="AO47" s="36" t="n"/>
      <c r="AP47" s="36" t="n"/>
      <c r="AQ47" s="35" t="n"/>
      <c r="AR47" s="35" t="n"/>
      <c r="AS47" s="35" t="n"/>
      <c r="AT47" s="35" t="n"/>
      <c r="AU47" s="35" t="n"/>
      <c r="AV47" s="35" t="n"/>
      <c r="AW47" s="35" t="n"/>
      <c r="AX47" s="35" t="n"/>
      <c r="AY47" s="35" t="n"/>
      <c r="AZ47" s="35" t="n"/>
      <c r="BA47" s="35" t="n"/>
      <c r="BB47" s="35" t="n"/>
      <c r="BC47" s="35" t="n"/>
      <c r="BD47" s="35" t="n"/>
      <c r="BE47" s="35" t="n"/>
      <c r="BF47" s="35" t="n"/>
      <c r="BG47" s="35" t="n"/>
      <c r="BH47" s="35" t="n"/>
      <c r="BI47" s="35" t="n"/>
      <c r="BJ47" s="35" t="n"/>
      <c r="BK47" s="35" t="n"/>
      <c r="BL47" s="35" t="n"/>
      <c r="BM47" s="35" t="n"/>
      <c r="BN47" s="35" t="n"/>
      <c r="BO47" s="35" t="n"/>
      <c r="BP47" s="35" t="n"/>
      <c r="BQ47" s="35" t="n"/>
      <c r="BR47" s="35" t="n"/>
      <c r="BS47" s="35" t="n"/>
      <c r="BT47" s="35" t="n"/>
      <c r="BU47" s="41" t="n"/>
      <c r="BV47" s="41" t="n"/>
      <c r="BW47" s="41" t="n"/>
      <c r="BX47" s="35" t="n"/>
      <c r="BY47" s="35" t="n"/>
      <c r="BZ47" s="35" t="n"/>
      <c r="CA47" s="35" t="n"/>
      <c r="CB47" s="35" t="n"/>
      <c r="CC47" s="35" t="n"/>
      <c r="CD47" s="35" t="n"/>
    </row>
    <row r="48">
      <c r="A48" s="30" t="inlineStr">
        <is>
          <t>4.5</t>
        </is>
      </c>
      <c r="B48" s="31" t="inlineStr">
        <is>
          <t>Audit clearance documentation</t>
        </is>
      </c>
      <c r="C48" s="31" t="inlineStr">
        <is>
          <t>4 · Audit and clearance</t>
        </is>
      </c>
      <c r="D48" s="32" t="n">
        <v>4.6</v>
      </c>
      <c r="E48" s="33" t="n">
        <v>68</v>
      </c>
      <c r="F48" s="33" t="n">
        <v>70</v>
      </c>
      <c r="G48" s="35" t="n"/>
      <c r="H48" s="35" t="n"/>
      <c r="I48" s="35" t="n"/>
      <c r="J48" s="35" t="n"/>
      <c r="K48" s="35" t="n"/>
      <c r="L48" s="35" t="n"/>
      <c r="M48" s="35" t="n"/>
      <c r="N48" s="35" t="n"/>
      <c r="O48" s="35" t="n"/>
      <c r="P48" s="35" t="n"/>
      <c r="Q48" s="35" t="n"/>
      <c r="R48" s="35" t="n"/>
      <c r="S48" s="35" t="n"/>
      <c r="T48" s="35" t="n"/>
      <c r="U48" s="35" t="n"/>
      <c r="V48" s="35" t="n"/>
      <c r="W48" s="35" t="n"/>
      <c r="X48" s="35" t="n"/>
      <c r="Y48" s="35" t="n"/>
      <c r="Z48" s="35" t="n"/>
      <c r="AA48" s="35" t="n"/>
      <c r="AB48" s="35" t="n"/>
      <c r="AC48" s="35" t="n"/>
      <c r="AD48" s="35" t="n"/>
      <c r="AE48" s="36" t="n"/>
      <c r="AF48" s="36" t="n"/>
      <c r="AG48" s="36" t="n"/>
      <c r="AH48" s="36" t="n"/>
      <c r="AI48" s="36" t="n"/>
      <c r="AJ48" s="36" t="n"/>
      <c r="AK48" s="36" t="n"/>
      <c r="AL48" s="36" t="n"/>
      <c r="AM48" s="36" t="n"/>
      <c r="AN48" s="36" t="n"/>
      <c r="AO48" s="36" t="n"/>
      <c r="AP48" s="36" t="n"/>
      <c r="AQ48" s="35" t="n"/>
      <c r="AR48" s="35" t="n"/>
      <c r="AS48" s="35" t="n"/>
      <c r="AT48" s="35" t="n"/>
      <c r="AU48" s="35" t="n"/>
      <c r="AV48" s="35" t="n"/>
      <c r="AW48" s="35" t="n"/>
      <c r="AX48" s="35" t="n"/>
      <c r="AY48" s="35" t="n"/>
      <c r="AZ48" s="35" t="n"/>
      <c r="BA48" s="35" t="n"/>
      <c r="BB48" s="35" t="n"/>
      <c r="BC48" s="35" t="n"/>
      <c r="BD48" s="35" t="n"/>
      <c r="BE48" s="35" t="n"/>
      <c r="BF48" s="35" t="n"/>
      <c r="BG48" s="35" t="n"/>
      <c r="BH48" s="35" t="n"/>
      <c r="BI48" s="35" t="n"/>
      <c r="BJ48" s="35" t="n"/>
      <c r="BK48" s="35" t="n"/>
      <c r="BL48" s="35" t="n"/>
      <c r="BM48" s="35" t="n"/>
      <c r="BN48" s="35" t="n"/>
      <c r="BO48" s="35" t="n"/>
      <c r="BP48" s="35" t="n"/>
      <c r="BQ48" s="35" t="n"/>
      <c r="BR48" s="35" t="n"/>
      <c r="BS48" s="35" t="n"/>
      <c r="BT48" s="35" t="n"/>
      <c r="BU48" s="35" t="n"/>
      <c r="BV48" s="41" t="n"/>
      <c r="BW48" s="41" t="n"/>
      <c r="BX48" s="41" t="n"/>
      <c r="BY48" s="35" t="n"/>
      <c r="BZ48" s="35" t="n"/>
      <c r="CA48" s="35" t="n"/>
      <c r="CB48" s="35" t="n"/>
      <c r="CC48" s="35" t="n"/>
      <c r="CD48" s="35" t="n"/>
    </row>
    <row r="49">
      <c r="A49" s="30" t="inlineStr">
        <is>
          <t>5.1</t>
        </is>
      </c>
      <c r="B49" s="31" t="inlineStr">
        <is>
          <t>Cut-over runbook: one A-record, MX untouchable</t>
        </is>
      </c>
      <c r="C49" s="31" t="inlineStr">
        <is>
          <t>5 · Cut-over and hypercare</t>
        </is>
      </c>
      <c r="D49" s="32" t="n">
        <v>6.2</v>
      </c>
      <c r="E49" s="33" t="n">
        <v>66</v>
      </c>
      <c r="F49" s="33" t="n">
        <v>71</v>
      </c>
      <c r="G49" s="35" t="n"/>
      <c r="H49" s="35" t="n"/>
      <c r="I49" s="35" t="n"/>
      <c r="J49" s="35" t="n"/>
      <c r="K49" s="35" t="n"/>
      <c r="L49" s="35" t="n"/>
      <c r="M49" s="35" t="n"/>
      <c r="N49" s="35" t="n"/>
      <c r="O49" s="35" t="n"/>
      <c r="P49" s="35" t="n"/>
      <c r="Q49" s="35" t="n"/>
      <c r="R49" s="35" t="n"/>
      <c r="S49" s="35" t="n"/>
      <c r="T49" s="35" t="n"/>
      <c r="U49" s="35" t="n"/>
      <c r="V49" s="35" t="n"/>
      <c r="W49" s="35" t="n"/>
      <c r="X49" s="35" t="n"/>
      <c r="Y49" s="35" t="n"/>
      <c r="Z49" s="35" t="n"/>
      <c r="AA49" s="35" t="n"/>
      <c r="AB49" s="35" t="n"/>
      <c r="AC49" s="35" t="n"/>
      <c r="AD49" s="35" t="n"/>
      <c r="AE49" s="36" t="n"/>
      <c r="AF49" s="36" t="n"/>
      <c r="AG49" s="36" t="n"/>
      <c r="AH49" s="36" t="n"/>
      <c r="AI49" s="36" t="n"/>
      <c r="AJ49" s="36" t="n"/>
      <c r="AK49" s="36" t="n"/>
      <c r="AL49" s="36" t="n"/>
      <c r="AM49" s="36" t="n"/>
      <c r="AN49" s="36" t="n"/>
      <c r="AO49" s="36" t="n"/>
      <c r="AP49" s="36" t="n"/>
      <c r="AQ49" s="35" t="n"/>
      <c r="AR49" s="35" t="n"/>
      <c r="AS49" s="35" t="n"/>
      <c r="AT49" s="35" t="n"/>
      <c r="AU49" s="35" t="n"/>
      <c r="AV49" s="35" t="n"/>
      <c r="AW49" s="35" t="n"/>
      <c r="AX49" s="35" t="n"/>
      <c r="AY49" s="35" t="n"/>
      <c r="AZ49" s="35" t="n"/>
      <c r="BA49" s="35" t="n"/>
      <c r="BB49" s="35" t="n"/>
      <c r="BC49" s="35" t="n"/>
      <c r="BD49" s="35" t="n"/>
      <c r="BE49" s="35" t="n"/>
      <c r="BF49" s="35" t="n"/>
      <c r="BG49" s="35" t="n"/>
      <c r="BH49" s="35" t="n"/>
      <c r="BI49" s="35" t="n"/>
      <c r="BJ49" s="35" t="n"/>
      <c r="BK49" s="35" t="n"/>
      <c r="BL49" s="35" t="n"/>
      <c r="BM49" s="35" t="n"/>
      <c r="BN49" s="35" t="n"/>
      <c r="BO49" s="35" t="n"/>
      <c r="BP49" s="35" t="n"/>
      <c r="BQ49" s="35" t="n"/>
      <c r="BR49" s="35" t="n"/>
      <c r="BS49" s="35" t="n"/>
      <c r="BT49" s="42" t="n"/>
      <c r="BU49" s="42" t="n"/>
      <c r="BV49" s="42" t="n"/>
      <c r="BW49" s="42" t="n"/>
      <c r="BX49" s="42" t="n"/>
      <c r="BY49" s="42" t="n"/>
      <c r="BZ49" s="35" t="n"/>
      <c r="CA49" s="35" t="n"/>
      <c r="CB49" s="35" t="n"/>
      <c r="CC49" s="35" t="n"/>
      <c r="CD49" s="35" t="n"/>
    </row>
    <row r="50">
      <c r="A50" s="30" t="inlineStr">
        <is>
          <t>5.2</t>
        </is>
      </c>
      <c r="B50" s="31" t="inlineStr">
        <is>
          <t>Redirect layer live; every row asserted automatically</t>
        </is>
      </c>
      <c r="C50" s="31" t="inlineStr">
        <is>
          <t>5 · Cut-over and hypercare</t>
        </is>
      </c>
      <c r="D50" s="32" t="n">
        <v>7.8</v>
      </c>
      <c r="E50" s="33" t="n">
        <v>69</v>
      </c>
      <c r="F50" s="33" t="n">
        <v>72</v>
      </c>
      <c r="G50" s="35" t="n"/>
      <c r="H50" s="35" t="n"/>
      <c r="I50" s="35" t="n"/>
      <c r="J50" s="35" t="n"/>
      <c r="K50" s="35" t="n"/>
      <c r="L50" s="35" t="n"/>
      <c r="M50" s="35" t="n"/>
      <c r="N50" s="35" t="n"/>
      <c r="O50" s="35" t="n"/>
      <c r="P50" s="35" t="n"/>
      <c r="Q50" s="35" t="n"/>
      <c r="R50" s="35" t="n"/>
      <c r="S50" s="35" t="n"/>
      <c r="T50" s="35" t="n"/>
      <c r="U50" s="35" t="n"/>
      <c r="V50" s="35" t="n"/>
      <c r="W50" s="35" t="n"/>
      <c r="X50" s="35" t="n"/>
      <c r="Y50" s="35" t="n"/>
      <c r="Z50" s="35" t="n"/>
      <c r="AA50" s="35" t="n"/>
      <c r="AB50" s="35" t="n"/>
      <c r="AC50" s="35" t="n"/>
      <c r="AD50" s="35" t="n"/>
      <c r="AE50" s="36" t="n"/>
      <c r="AF50" s="36" t="n"/>
      <c r="AG50" s="36" t="n"/>
      <c r="AH50" s="36" t="n"/>
      <c r="AI50" s="36" t="n"/>
      <c r="AJ50" s="36" t="n"/>
      <c r="AK50" s="36" t="n"/>
      <c r="AL50" s="36" t="n"/>
      <c r="AM50" s="36" t="n"/>
      <c r="AN50" s="36" t="n"/>
      <c r="AO50" s="36" t="n"/>
      <c r="AP50" s="36" t="n"/>
      <c r="AQ50" s="35" t="n"/>
      <c r="AR50" s="35" t="n"/>
      <c r="AS50" s="35" t="n"/>
      <c r="AT50" s="35" t="n"/>
      <c r="AU50" s="35" t="n"/>
      <c r="AV50" s="35" t="n"/>
      <c r="AW50" s="35" t="n"/>
      <c r="AX50" s="35" t="n"/>
      <c r="AY50" s="35" t="n"/>
      <c r="AZ50" s="35" t="n"/>
      <c r="BA50" s="35" t="n"/>
      <c r="BB50" s="35" t="n"/>
      <c r="BC50" s="35" t="n"/>
      <c r="BD50" s="35" t="n"/>
      <c r="BE50" s="35" t="n"/>
      <c r="BF50" s="35" t="n"/>
      <c r="BG50" s="35" t="n"/>
      <c r="BH50" s="35" t="n"/>
      <c r="BI50" s="35" t="n"/>
      <c r="BJ50" s="35" t="n"/>
      <c r="BK50" s="35" t="n"/>
      <c r="BL50" s="35" t="n"/>
      <c r="BM50" s="35" t="n"/>
      <c r="BN50" s="35" t="n"/>
      <c r="BO50" s="35" t="n"/>
      <c r="BP50" s="35" t="n"/>
      <c r="BQ50" s="35" t="n"/>
      <c r="BR50" s="35" t="n"/>
      <c r="BS50" s="35" t="n"/>
      <c r="BT50" s="35" t="n"/>
      <c r="BU50" s="35" t="n"/>
      <c r="BV50" s="35" t="n"/>
      <c r="BW50" s="42" t="n"/>
      <c r="BX50" s="42" t="n"/>
      <c r="BY50" s="42" t="n"/>
      <c r="BZ50" s="42" t="n"/>
      <c r="CA50" s="35" t="n"/>
      <c r="CB50" s="35" t="n"/>
      <c r="CC50" s="35" t="n"/>
      <c r="CD50" s="35" t="n"/>
    </row>
    <row r="51">
      <c r="A51" s="30" t="inlineStr">
        <is>
          <t>5.3</t>
        </is>
      </c>
      <c r="B51" s="31" t="inlineStr">
        <is>
          <t>Sitemap, robots and Search Console submission</t>
        </is>
      </c>
      <c r="C51" s="31" t="inlineStr">
        <is>
          <t>5 · Cut-over and hypercare</t>
        </is>
      </c>
      <c r="D51" s="32" t="n">
        <v>3</v>
      </c>
      <c r="E51" s="33" t="n">
        <v>71</v>
      </c>
      <c r="F51" s="33" t="n">
        <v>73</v>
      </c>
      <c r="G51" s="35" t="n"/>
      <c r="H51" s="35" t="n"/>
      <c r="I51" s="35" t="n"/>
      <c r="J51" s="35" t="n"/>
      <c r="K51" s="35" t="n"/>
      <c r="L51" s="35" t="n"/>
      <c r="M51" s="35" t="n"/>
      <c r="N51" s="35" t="n"/>
      <c r="O51" s="35" t="n"/>
      <c r="P51" s="35" t="n"/>
      <c r="Q51" s="35" t="n"/>
      <c r="R51" s="35" t="n"/>
      <c r="S51" s="35" t="n"/>
      <c r="T51" s="35" t="n"/>
      <c r="U51" s="35" t="n"/>
      <c r="V51" s="35" t="n"/>
      <c r="W51" s="35" t="n"/>
      <c r="X51" s="35" t="n"/>
      <c r="Y51" s="35" t="n"/>
      <c r="Z51" s="35" t="n"/>
      <c r="AA51" s="35" t="n"/>
      <c r="AB51" s="35" t="n"/>
      <c r="AC51" s="35" t="n"/>
      <c r="AD51" s="35" t="n"/>
      <c r="AE51" s="36" t="n"/>
      <c r="AF51" s="36" t="n"/>
      <c r="AG51" s="36" t="n"/>
      <c r="AH51" s="36" t="n"/>
      <c r="AI51" s="36" t="n"/>
      <c r="AJ51" s="36" t="n"/>
      <c r="AK51" s="36" t="n"/>
      <c r="AL51" s="36" t="n"/>
      <c r="AM51" s="36" t="n"/>
      <c r="AN51" s="36" t="n"/>
      <c r="AO51" s="36" t="n"/>
      <c r="AP51" s="36" t="n"/>
      <c r="AQ51" s="35" t="n"/>
      <c r="AR51" s="35" t="n"/>
      <c r="AS51" s="35" t="n"/>
      <c r="AT51" s="35" t="n"/>
      <c r="AU51" s="35" t="n"/>
      <c r="AV51" s="35" t="n"/>
      <c r="AW51" s="35" t="n"/>
      <c r="AX51" s="35" t="n"/>
      <c r="AY51" s="35" t="n"/>
      <c r="AZ51" s="35" t="n"/>
      <c r="BA51" s="35" t="n"/>
      <c r="BB51" s="35" t="n"/>
      <c r="BC51" s="35" t="n"/>
      <c r="BD51" s="35" t="n"/>
      <c r="BE51" s="35" t="n"/>
      <c r="BF51" s="35" t="n"/>
      <c r="BG51" s="35" t="n"/>
      <c r="BH51" s="35" t="n"/>
      <c r="BI51" s="35" t="n"/>
      <c r="BJ51" s="35" t="n"/>
      <c r="BK51" s="35" t="n"/>
      <c r="BL51" s="35" t="n"/>
      <c r="BM51" s="35" t="n"/>
      <c r="BN51" s="35" t="n"/>
      <c r="BO51" s="35" t="n"/>
      <c r="BP51" s="35" t="n"/>
      <c r="BQ51" s="35" t="n"/>
      <c r="BR51" s="35" t="n"/>
      <c r="BS51" s="35" t="n"/>
      <c r="BT51" s="35" t="n"/>
      <c r="BU51" s="35" t="n"/>
      <c r="BV51" s="35" t="n"/>
      <c r="BW51" s="35" t="n"/>
      <c r="BX51" s="35" t="n"/>
      <c r="BY51" s="42" t="n"/>
      <c r="BZ51" s="42" t="n"/>
      <c r="CA51" s="42" t="n"/>
      <c r="CB51" s="35" t="n"/>
      <c r="CC51" s="35" t="n"/>
      <c r="CD51" s="35" t="n"/>
    </row>
    <row r="52">
      <c r="A52" s="30" t="inlineStr">
        <is>
          <t>5.4</t>
        </is>
      </c>
      <c r="B52" s="31" t="inlineStr">
        <is>
          <t>IGOD refresh and India Portal depository records</t>
        </is>
      </c>
      <c r="C52" s="31" t="inlineStr">
        <is>
          <t>5 · Cut-over and hypercare</t>
        </is>
      </c>
      <c r="D52" s="32" t="n">
        <v>4.8</v>
      </c>
      <c r="E52" s="33" t="n">
        <v>70</v>
      </c>
      <c r="F52" s="33" t="n">
        <v>74</v>
      </c>
      <c r="G52" s="35" t="n"/>
      <c r="H52" s="35" t="n"/>
      <c r="I52" s="35" t="n"/>
      <c r="J52" s="35" t="n"/>
      <c r="K52" s="35" t="n"/>
      <c r="L52" s="35" t="n"/>
      <c r="M52" s="35" t="n"/>
      <c r="N52" s="35" t="n"/>
      <c r="O52" s="35" t="n"/>
      <c r="P52" s="35" t="n"/>
      <c r="Q52" s="35" t="n"/>
      <c r="R52" s="35" t="n"/>
      <c r="S52" s="35" t="n"/>
      <c r="T52" s="35" t="n"/>
      <c r="U52" s="35" t="n"/>
      <c r="V52" s="35" t="n"/>
      <c r="W52" s="35" t="n"/>
      <c r="X52" s="35" t="n"/>
      <c r="Y52" s="35" t="n"/>
      <c r="Z52" s="35" t="n"/>
      <c r="AA52" s="35" t="n"/>
      <c r="AB52" s="35" t="n"/>
      <c r="AC52" s="35" t="n"/>
      <c r="AD52" s="35" t="n"/>
      <c r="AE52" s="36" t="n"/>
      <c r="AF52" s="36" t="n"/>
      <c r="AG52" s="36" t="n"/>
      <c r="AH52" s="36" t="n"/>
      <c r="AI52" s="36" t="n"/>
      <c r="AJ52" s="36" t="n"/>
      <c r="AK52" s="36" t="n"/>
      <c r="AL52" s="36" t="n"/>
      <c r="AM52" s="36" t="n"/>
      <c r="AN52" s="36" t="n"/>
      <c r="AO52" s="36" t="n"/>
      <c r="AP52" s="36" t="n"/>
      <c r="AQ52" s="35" t="n"/>
      <c r="AR52" s="35" t="n"/>
      <c r="AS52" s="35" t="n"/>
      <c r="AT52" s="35" t="n"/>
      <c r="AU52" s="35" t="n"/>
      <c r="AV52" s="35" t="n"/>
      <c r="AW52" s="35" t="n"/>
      <c r="AX52" s="35" t="n"/>
      <c r="AY52" s="35" t="n"/>
      <c r="AZ52" s="35" t="n"/>
      <c r="BA52" s="35" t="n"/>
      <c r="BB52" s="35" t="n"/>
      <c r="BC52" s="35" t="n"/>
      <c r="BD52" s="35" t="n"/>
      <c r="BE52" s="35" t="n"/>
      <c r="BF52" s="35" t="n"/>
      <c r="BG52" s="35" t="n"/>
      <c r="BH52" s="35" t="n"/>
      <c r="BI52" s="35" t="n"/>
      <c r="BJ52" s="35" t="n"/>
      <c r="BK52" s="35" t="n"/>
      <c r="BL52" s="35" t="n"/>
      <c r="BM52" s="35" t="n"/>
      <c r="BN52" s="35" t="n"/>
      <c r="BO52" s="35" t="n"/>
      <c r="BP52" s="35" t="n"/>
      <c r="BQ52" s="35" t="n"/>
      <c r="BR52" s="35" t="n"/>
      <c r="BS52" s="35" t="n"/>
      <c r="BT52" s="35" t="n"/>
      <c r="BU52" s="35" t="n"/>
      <c r="BV52" s="35" t="n"/>
      <c r="BW52" s="35" t="n"/>
      <c r="BX52" s="42" t="n"/>
      <c r="BY52" s="42" t="n"/>
      <c r="BZ52" s="42" t="n"/>
      <c r="CA52" s="42" t="n"/>
      <c r="CB52" s="42" t="n"/>
      <c r="CC52" s="35" t="n"/>
      <c r="CD52" s="35" t="n"/>
    </row>
    <row r="53">
      <c r="A53" s="30" t="inlineStr">
        <is>
          <t>5.5</t>
        </is>
      </c>
      <c r="B53" s="31" t="inlineStr">
        <is>
          <t>Hypercare and 404-log review</t>
        </is>
      </c>
      <c r="C53" s="31" t="inlineStr">
        <is>
          <t>5 · Cut-over and hypercare</t>
        </is>
      </c>
      <c r="D53" s="32" t="n">
        <v>12.1</v>
      </c>
      <c r="E53" s="33" t="n">
        <v>72</v>
      </c>
      <c r="F53" s="33" t="n">
        <v>76</v>
      </c>
      <c r="G53" s="35" t="n"/>
      <c r="H53" s="35" t="n"/>
      <c r="I53" s="35" t="n"/>
      <c r="J53" s="35" t="n"/>
      <c r="K53" s="35" t="n"/>
      <c r="L53" s="35" t="n"/>
      <c r="M53" s="35" t="n"/>
      <c r="N53" s="35" t="n"/>
      <c r="O53" s="35" t="n"/>
      <c r="P53" s="35" t="n"/>
      <c r="Q53" s="35" t="n"/>
      <c r="R53" s="35" t="n"/>
      <c r="S53" s="35" t="n"/>
      <c r="T53" s="35" t="n"/>
      <c r="U53" s="35" t="n"/>
      <c r="V53" s="35" t="n"/>
      <c r="W53" s="35" t="n"/>
      <c r="X53" s="35" t="n"/>
      <c r="Y53" s="35" t="n"/>
      <c r="Z53" s="35" t="n"/>
      <c r="AA53" s="35" t="n"/>
      <c r="AB53" s="35" t="n"/>
      <c r="AC53" s="35" t="n"/>
      <c r="AD53" s="35" t="n"/>
      <c r="AE53" s="36" t="n"/>
      <c r="AF53" s="36" t="n"/>
      <c r="AG53" s="36" t="n"/>
      <c r="AH53" s="36" t="n"/>
      <c r="AI53" s="36" t="n"/>
      <c r="AJ53" s="36" t="n"/>
      <c r="AK53" s="36" t="n"/>
      <c r="AL53" s="36" t="n"/>
      <c r="AM53" s="36" t="n"/>
      <c r="AN53" s="36" t="n"/>
      <c r="AO53" s="36" t="n"/>
      <c r="AP53" s="36" t="n"/>
      <c r="AQ53" s="35" t="n"/>
      <c r="AR53" s="35" t="n"/>
      <c r="AS53" s="35" t="n"/>
      <c r="AT53" s="35" t="n"/>
      <c r="AU53" s="35" t="n"/>
      <c r="AV53" s="35" t="n"/>
      <c r="AW53" s="35" t="n"/>
      <c r="AX53" s="35" t="n"/>
      <c r="AY53" s="35" t="n"/>
      <c r="AZ53" s="35" t="n"/>
      <c r="BA53" s="35" t="n"/>
      <c r="BB53" s="35" t="n"/>
      <c r="BC53" s="35" t="n"/>
      <c r="BD53" s="35" t="n"/>
      <c r="BE53" s="35" t="n"/>
      <c r="BF53" s="35" t="n"/>
      <c r="BG53" s="35" t="n"/>
      <c r="BH53" s="35" t="n"/>
      <c r="BI53" s="35" t="n"/>
      <c r="BJ53" s="35" t="n"/>
      <c r="BK53" s="35" t="n"/>
      <c r="BL53" s="35" t="n"/>
      <c r="BM53" s="35" t="n"/>
      <c r="BN53" s="35" t="n"/>
      <c r="BO53" s="35" t="n"/>
      <c r="BP53" s="35" t="n"/>
      <c r="BQ53" s="35" t="n"/>
      <c r="BR53" s="35" t="n"/>
      <c r="BS53" s="35" t="n"/>
      <c r="BT53" s="35" t="n"/>
      <c r="BU53" s="35" t="n"/>
      <c r="BV53" s="35" t="n"/>
      <c r="BW53" s="35" t="n"/>
      <c r="BX53" s="35" t="n"/>
      <c r="BY53" s="35" t="n"/>
      <c r="BZ53" s="42" t="n"/>
      <c r="CA53" s="42" t="n"/>
      <c r="CB53" s="42" t="n"/>
      <c r="CC53" s="42" t="n"/>
      <c r="CD53" s="42" t="n"/>
    </row>
    <row r="54">
      <c r="A54" s="30" t="inlineStr">
        <is>
          <t>P.1b</t>
        </is>
      </c>
      <c r="B54" s="31" t="inlineStr">
        <is>
          <t>Programme and delivery management — Stage 2</t>
        </is>
      </c>
      <c r="C54" s="31" t="inlineStr">
        <is>
          <t>P · Programme management</t>
        </is>
      </c>
      <c r="D54" s="32" t="n">
        <v>23.7</v>
      </c>
      <c r="E54" s="33" t="n">
        <v>37</v>
      </c>
      <c r="F54" s="33" t="n">
        <v>76</v>
      </c>
      <c r="G54" s="35" t="n"/>
      <c r="H54" s="35" t="n"/>
      <c r="I54" s="35" t="n"/>
      <c r="J54" s="35" t="n"/>
      <c r="K54" s="35" t="n"/>
      <c r="L54" s="35" t="n"/>
      <c r="M54" s="35" t="n"/>
      <c r="N54" s="35" t="n"/>
      <c r="O54" s="35" t="n"/>
      <c r="P54" s="35" t="n"/>
      <c r="Q54" s="35" t="n"/>
      <c r="R54" s="35" t="n"/>
      <c r="S54" s="35" t="n"/>
      <c r="T54" s="35" t="n"/>
      <c r="U54" s="35" t="n"/>
      <c r="V54" s="35" t="n"/>
      <c r="W54" s="35" t="n"/>
      <c r="X54" s="35" t="n"/>
      <c r="Y54" s="35" t="n"/>
      <c r="Z54" s="35" t="n"/>
      <c r="AA54" s="35" t="n"/>
      <c r="AB54" s="35" t="n"/>
      <c r="AC54" s="35" t="n"/>
      <c r="AD54" s="35" t="n"/>
      <c r="AE54" s="36" t="n"/>
      <c r="AF54" s="36" t="n"/>
      <c r="AG54" s="36" t="n"/>
      <c r="AH54" s="36" t="n"/>
      <c r="AI54" s="36" t="n"/>
      <c r="AJ54" s="36" t="n"/>
      <c r="AK54" s="36" t="n"/>
      <c r="AL54" s="36" t="n"/>
      <c r="AM54" s="36" t="n"/>
      <c r="AN54" s="36" t="n"/>
      <c r="AO54" s="36" t="n"/>
      <c r="AP54" s="36" t="n"/>
      <c r="AQ54" s="39" t="n"/>
      <c r="AR54" s="39" t="n"/>
      <c r="AS54" s="39" t="n"/>
      <c r="AT54" s="39" t="n"/>
      <c r="AU54" s="39" t="n"/>
      <c r="AV54" s="39" t="n"/>
      <c r="AW54" s="39" t="n"/>
      <c r="AX54" s="39" t="n"/>
      <c r="AY54" s="39" t="n"/>
      <c r="AZ54" s="39" t="n"/>
      <c r="BA54" s="39" t="n"/>
      <c r="BB54" s="39" t="n"/>
      <c r="BC54" s="39" t="n"/>
      <c r="BD54" s="39" t="n"/>
      <c r="BE54" s="39" t="n"/>
      <c r="BF54" s="39" t="n"/>
      <c r="BG54" s="39" t="n"/>
      <c r="BH54" s="39" t="n"/>
      <c r="BI54" s="39" t="n"/>
      <c r="BJ54" s="39" t="n"/>
      <c r="BK54" s="39" t="n"/>
      <c r="BL54" s="39" t="n"/>
      <c r="BM54" s="39" t="n"/>
      <c r="BN54" s="39" t="n"/>
      <c r="BO54" s="39" t="n"/>
      <c r="BP54" s="39" t="n"/>
      <c r="BQ54" s="39" t="n"/>
      <c r="BR54" s="39" t="n"/>
      <c r="BS54" s="39" t="n"/>
      <c r="BT54" s="39" t="n"/>
      <c r="BU54" s="39" t="n"/>
      <c r="BV54" s="39" t="n"/>
      <c r="BW54" s="39" t="n"/>
      <c r="BX54" s="39" t="n"/>
      <c r="BY54" s="39" t="n"/>
      <c r="BZ54" s="39" t="n"/>
      <c r="CA54" s="39" t="n"/>
      <c r="CB54" s="39" t="n"/>
      <c r="CC54" s="39" t="n"/>
      <c r="CD54" s="39" t="n"/>
    </row>
    <row r="55">
      <c r="A55" s="30" t="inlineStr">
        <is>
          <t>P.2b</t>
        </is>
      </c>
      <c r="B55" s="31" t="inlineStr">
        <is>
          <t>Business analysis and content governance — Stage 2</t>
        </is>
      </c>
      <c r="C55" s="31" t="inlineStr">
        <is>
          <t>P · Programme management</t>
        </is>
      </c>
      <c r="D55" s="32" t="n">
        <v>14.8</v>
      </c>
      <c r="E55" s="33" t="n">
        <v>37</v>
      </c>
      <c r="F55" s="33" t="n">
        <v>74</v>
      </c>
      <c r="G55" s="35" t="n"/>
      <c r="H55" s="35" t="n"/>
      <c r="I55" s="35" t="n"/>
      <c r="J55" s="35" t="n"/>
      <c r="K55" s="35" t="n"/>
      <c r="L55" s="35" t="n"/>
      <c r="M55" s="35" t="n"/>
      <c r="N55" s="35" t="n"/>
      <c r="O55" s="35" t="n"/>
      <c r="P55" s="35" t="n"/>
      <c r="Q55" s="35" t="n"/>
      <c r="R55" s="35" t="n"/>
      <c r="S55" s="35" t="n"/>
      <c r="T55" s="35" t="n"/>
      <c r="U55" s="35" t="n"/>
      <c r="V55" s="35" t="n"/>
      <c r="W55" s="35" t="n"/>
      <c r="X55" s="35" t="n"/>
      <c r="Y55" s="35" t="n"/>
      <c r="Z55" s="35" t="n"/>
      <c r="AA55" s="35" t="n"/>
      <c r="AB55" s="35" t="n"/>
      <c r="AC55" s="35" t="n"/>
      <c r="AD55" s="35" t="n"/>
      <c r="AE55" s="36" t="n"/>
      <c r="AF55" s="36" t="n"/>
      <c r="AG55" s="36" t="n"/>
      <c r="AH55" s="36" t="n"/>
      <c r="AI55" s="36" t="n"/>
      <c r="AJ55" s="36" t="n"/>
      <c r="AK55" s="36" t="n"/>
      <c r="AL55" s="36" t="n"/>
      <c r="AM55" s="36" t="n"/>
      <c r="AN55" s="36" t="n"/>
      <c r="AO55" s="36" t="n"/>
      <c r="AP55" s="36" t="n"/>
      <c r="AQ55" s="39" t="n"/>
      <c r="AR55" s="39" t="n"/>
      <c r="AS55" s="39" t="n"/>
      <c r="AT55" s="39" t="n"/>
      <c r="AU55" s="39" t="n"/>
      <c r="AV55" s="39" t="n"/>
      <c r="AW55" s="39" t="n"/>
      <c r="AX55" s="39" t="n"/>
      <c r="AY55" s="39" t="n"/>
      <c r="AZ55" s="39" t="n"/>
      <c r="BA55" s="39" t="n"/>
      <c r="BB55" s="39" t="n"/>
      <c r="BC55" s="39" t="n"/>
      <c r="BD55" s="39" t="n"/>
      <c r="BE55" s="39" t="n"/>
      <c r="BF55" s="39" t="n"/>
      <c r="BG55" s="39" t="n"/>
      <c r="BH55" s="39" t="n"/>
      <c r="BI55" s="39" t="n"/>
      <c r="BJ55" s="39" t="n"/>
      <c r="BK55" s="39" t="n"/>
      <c r="BL55" s="39" t="n"/>
      <c r="BM55" s="39" t="n"/>
      <c r="BN55" s="39" t="n"/>
      <c r="BO55" s="39" t="n"/>
      <c r="BP55" s="39" t="n"/>
      <c r="BQ55" s="39" t="n"/>
      <c r="BR55" s="39" t="n"/>
      <c r="BS55" s="39" t="n"/>
      <c r="BT55" s="39" t="n"/>
      <c r="BU55" s="39" t="n"/>
      <c r="BV55" s="39" t="n"/>
      <c r="BW55" s="39" t="n"/>
      <c r="BX55" s="39" t="n"/>
      <c r="BY55" s="39" t="n"/>
      <c r="BZ55" s="39" t="n"/>
      <c r="CA55" s="39" t="n"/>
      <c r="CB55" s="39" t="n"/>
      <c r="CC55" s="35" t="n"/>
      <c r="CD55" s="35" t="n"/>
    </row>
    <row r="56">
      <c r="A56" s="30" t="inlineStr">
        <is>
          <t>P.3b</t>
        </is>
      </c>
      <c r="B56" s="31" t="inlineStr">
        <is>
          <t>Documentation, SOPs and handover — Stage 2</t>
        </is>
      </c>
      <c r="C56" s="31" t="inlineStr">
        <is>
          <t>P · Programme management</t>
        </is>
      </c>
      <c r="D56" s="32" t="n">
        <v>7.5</v>
      </c>
      <c r="E56" s="33" t="n">
        <v>68</v>
      </c>
      <c r="F56" s="33" t="n">
        <v>76</v>
      </c>
      <c r="G56" s="35" t="n"/>
      <c r="H56" s="35" t="n"/>
      <c r="I56" s="35" t="n"/>
      <c r="J56" s="35" t="n"/>
      <c r="K56" s="35" t="n"/>
      <c r="L56" s="35" t="n"/>
      <c r="M56" s="35" t="n"/>
      <c r="N56" s="35" t="n"/>
      <c r="O56" s="35" t="n"/>
      <c r="P56" s="35" t="n"/>
      <c r="Q56" s="35" t="n"/>
      <c r="R56" s="35" t="n"/>
      <c r="S56" s="35" t="n"/>
      <c r="T56" s="35" t="n"/>
      <c r="U56" s="35" t="n"/>
      <c r="V56" s="35" t="n"/>
      <c r="W56" s="35" t="n"/>
      <c r="X56" s="35" t="n"/>
      <c r="Y56" s="35" t="n"/>
      <c r="Z56" s="35" t="n"/>
      <c r="AA56" s="35" t="n"/>
      <c r="AB56" s="35" t="n"/>
      <c r="AC56" s="35" t="n"/>
      <c r="AD56" s="35" t="n"/>
      <c r="AE56" s="36" t="n"/>
      <c r="AF56" s="36" t="n"/>
      <c r="AG56" s="36" t="n"/>
      <c r="AH56" s="36" t="n"/>
      <c r="AI56" s="36" t="n"/>
      <c r="AJ56" s="36" t="n"/>
      <c r="AK56" s="36" t="n"/>
      <c r="AL56" s="36" t="n"/>
      <c r="AM56" s="36" t="n"/>
      <c r="AN56" s="36" t="n"/>
      <c r="AO56" s="36" t="n"/>
      <c r="AP56" s="36" t="n"/>
      <c r="AQ56" s="35" t="n"/>
      <c r="AR56" s="35" t="n"/>
      <c r="AS56" s="35" t="n"/>
      <c r="AT56" s="35" t="n"/>
      <c r="AU56" s="35" t="n"/>
      <c r="AV56" s="35" t="n"/>
      <c r="AW56" s="35" t="n"/>
      <c r="AX56" s="35" t="n"/>
      <c r="AY56" s="35" t="n"/>
      <c r="AZ56" s="35" t="n"/>
      <c r="BA56" s="35" t="n"/>
      <c r="BB56" s="35" t="n"/>
      <c r="BC56" s="35" t="n"/>
      <c r="BD56" s="35" t="n"/>
      <c r="BE56" s="35" t="n"/>
      <c r="BF56" s="35" t="n"/>
      <c r="BG56" s="35" t="n"/>
      <c r="BH56" s="35" t="n"/>
      <c r="BI56" s="35" t="n"/>
      <c r="BJ56" s="35" t="n"/>
      <c r="BK56" s="35" t="n"/>
      <c r="BL56" s="35" t="n"/>
      <c r="BM56" s="35" t="n"/>
      <c r="BN56" s="35" t="n"/>
      <c r="BO56" s="35" t="n"/>
      <c r="BP56" s="35" t="n"/>
      <c r="BQ56" s="35" t="n"/>
      <c r="BR56" s="35" t="n"/>
      <c r="BS56" s="35" t="n"/>
      <c r="BT56" s="35" t="n"/>
      <c r="BU56" s="35" t="n"/>
      <c r="BV56" s="39" t="n"/>
      <c r="BW56" s="39" t="n"/>
      <c r="BX56" s="39" t="n"/>
      <c r="BY56" s="39" t="n"/>
      <c r="BZ56" s="39" t="n"/>
      <c r="CA56" s="39" t="n"/>
      <c r="CB56" s="39" t="n"/>
      <c r="CC56" s="39" t="n"/>
      <c r="CD56" s="39" t="n"/>
    </row>
    <row r="58">
      <c r="B58" s="23" t="inlineStr">
        <is>
          <t>Phase key</t>
        </is>
      </c>
    </row>
    <row r="59">
      <c r="A59" s="43" t="n"/>
      <c r="B59" s="44" t="inlineStr">
        <is>
          <t>Mandate and decisions</t>
        </is>
      </c>
    </row>
    <row r="60">
      <c r="A60" s="45" t="n"/>
      <c r="B60" s="44" t="inlineStr">
        <is>
          <t>Emergency remediation</t>
        </is>
      </c>
    </row>
    <row r="61">
      <c r="A61" s="46" t="n"/>
      <c r="B61" s="44" t="inlineStr">
        <is>
          <t>Inventory and redirect map</t>
        </is>
      </c>
    </row>
    <row r="62">
      <c r="A62" s="47" t="n"/>
      <c r="B62" s="44" t="inlineStr">
        <is>
          <t>Build and content load</t>
        </is>
      </c>
    </row>
    <row r="63">
      <c r="A63" s="48" t="n"/>
      <c r="B63" s="44" t="inlineStr">
        <is>
          <t>Audit and clearance</t>
        </is>
      </c>
    </row>
    <row r="64">
      <c r="A64" s="49" t="n"/>
      <c r="B64" s="44" t="inlineStr">
        <is>
          <t>Cut-over and hypercare</t>
        </is>
      </c>
    </row>
    <row r="65">
      <c r="A65" s="50" t="n"/>
      <c r="B65" s="44" t="inlineStr">
        <is>
          <t>Programme management</t>
        </is>
      </c>
    </row>
    <row r="66">
      <c r="A66" s="51" t="n"/>
      <c r="B66" s="44" t="inlineStr">
        <is>
          <t>Procurement gap — no supplier effort</t>
        </is>
      </c>
    </row>
  </sheetData>
  <mergeCells count="5">
    <mergeCell ref="A5:F5"/>
    <mergeCell ref="A2:CD2"/>
    <mergeCell ref="A32:F32"/>
    <mergeCell ref="A31:F31"/>
    <mergeCell ref="A1:C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0"/>
  <sheetViews>
    <sheetView showGridLines="0" workbookViewId="0">
      <pane ySplit="4" topLeftCell="A5" activePane="bottomLeft" state="frozen"/>
      <selection pane="bottomLeft" activeCell="A1" sqref="A1"/>
    </sheetView>
  </sheetViews>
  <sheetFormatPr baseColWidth="8" defaultRowHeight="15"/>
  <cols>
    <col width="7" customWidth="1" min="1" max="1"/>
    <col width="11" customWidth="1" min="2" max="2"/>
    <col width="42" customWidth="1" min="3" max="3"/>
    <col width="13" customWidth="1" min="4" max="4"/>
    <col width="16" customWidth="1" min="5" max="5"/>
    <col width="13" customWidth="1" min="6" max="6"/>
    <col width="19" customWidth="1" min="7" max="7"/>
    <col width="22" customWidth="1" min="8" max="8"/>
  </cols>
  <sheetData>
    <row r="1" ht="22" customHeight="1">
      <c r="A1" s="1" t="inlineStr">
        <is>
          <t>Milestones and payment schedule</t>
        </is>
      </c>
    </row>
    <row r="2" ht="28" customHeight="1">
      <c r="A2" s="2" t="inlineStr">
        <is>
          <t>Twelve milestones across two separately contracted stages. Every one is paid against a checkable exit criterion, not a date — a milestone that cannot be failed is not a milestone.</t>
        </is>
      </c>
    </row>
    <row r="4" ht="30" customHeight="1">
      <c r="A4" s="7" t="inlineStr">
        <is>
          <t>Ref</t>
        </is>
      </c>
      <c r="B4" s="7" t="inlineStr">
        <is>
          <t>Prog. week</t>
        </is>
      </c>
      <c r="C4" s="7" t="inlineStr">
        <is>
          <t>Milestone</t>
        </is>
      </c>
      <c r="D4" s="7" t="inlineStr">
        <is>
          <t>Share of stage</t>
        </is>
      </c>
      <c r="E4" s="7" t="inlineStr">
        <is>
          <t>Ex-GST (INR)</t>
        </is>
      </c>
      <c r="F4" s="7" t="inlineStr">
        <is>
          <t>GST (INR)</t>
        </is>
      </c>
      <c r="G4" s="7" t="inlineStr">
        <is>
          <t>Payable inc-GST (INR)</t>
        </is>
      </c>
      <c r="H4" s="7" t="inlineStr">
        <is>
          <t>Cumulative programme (INR)</t>
        </is>
      </c>
    </row>
    <row r="5">
      <c r="A5" s="28" t="inlineStr">
        <is>
          <t>STAGE 1 · contract value INR 2,388,290 ex-GST</t>
        </is>
      </c>
    </row>
    <row r="6">
      <c r="A6" s="8" t="inlineStr">
        <is>
          <t>M1</t>
        </is>
      </c>
      <c r="B6" s="10" t="n">
        <v>2</v>
      </c>
      <c r="C6" s="52" t="inlineStr">
        <is>
          <t>Mobilisation and inception report</t>
        </is>
      </c>
      <c r="D6" s="53" t="n">
        <v>0.1</v>
      </c>
      <c r="E6" s="12" t="n">
        <v>238828.9663425804</v>
      </c>
      <c r="F6" s="12" t="n">
        <v>42989.21394166447</v>
      </c>
      <c r="G6" s="12" t="n">
        <v>281818.1802842449</v>
      </c>
      <c r="H6" s="12" t="n">
        <v>238828.9663425804</v>
      </c>
    </row>
    <row r="7">
      <c r="A7" s="8" t="inlineStr">
        <is>
          <t>M2</t>
        </is>
      </c>
      <c r="B7" s="10" t="n">
        <v>8</v>
      </c>
      <c r="C7" s="52" t="inlineStr">
        <is>
          <t>Live site remediated</t>
        </is>
      </c>
      <c r="D7" s="53" t="n">
        <v>0.2</v>
      </c>
      <c r="E7" s="12" t="n">
        <v>477657.9326851608</v>
      </c>
      <c r="F7" s="12" t="n">
        <v>85978.42788332894</v>
      </c>
      <c r="G7" s="12" t="n">
        <v>563636.3605684898</v>
      </c>
      <c r="H7" s="12" t="n">
        <v>716486.8990277413</v>
      </c>
    </row>
    <row r="8">
      <c r="A8" s="8" t="inlineStr">
        <is>
          <t>M3</t>
        </is>
      </c>
      <c r="B8" s="10" t="n">
        <v>12</v>
      </c>
      <c r="C8" s="52" t="inlineStr">
        <is>
          <t>Platform decision pack</t>
        </is>
      </c>
      <c r="D8" s="53" t="n">
        <v>0.15</v>
      </c>
      <c r="E8" s="12" t="n">
        <v>358243.4495138706</v>
      </c>
      <c r="F8" s="12" t="n">
        <v>64483.8209124967</v>
      </c>
      <c r="G8" s="12" t="n">
        <v>422727.2704263673</v>
      </c>
      <c r="H8" s="12" t="n">
        <v>1074730.348541612</v>
      </c>
    </row>
    <row r="9">
      <c r="A9" s="8" t="inlineStr">
        <is>
          <t>M4</t>
        </is>
      </c>
      <c r="B9" s="10" t="n">
        <v>16</v>
      </c>
      <c r="C9" s="52" t="inlineStr">
        <is>
          <t>Draft inventory: the union register</t>
        </is>
      </c>
      <c r="D9" s="53" t="n">
        <v>0.2</v>
      </c>
      <c r="E9" s="12" t="n">
        <v>477657.9326851608</v>
      </c>
      <c r="F9" s="12" t="n">
        <v>85978.42788332894</v>
      </c>
      <c r="G9" s="12" t="n">
        <v>563636.3605684898</v>
      </c>
      <c r="H9" s="12" t="n">
        <v>1552388.281226773</v>
      </c>
    </row>
    <row r="10">
      <c r="A10" s="8" t="inlineStr">
        <is>
          <t>M5</t>
        </is>
      </c>
      <c r="B10" s="10" t="n">
        <v>20</v>
      </c>
      <c r="C10" s="52" t="inlineStr">
        <is>
          <t>Signed disposition register and redirect map</t>
        </is>
      </c>
      <c r="D10" s="53" t="n">
        <v>0.25</v>
      </c>
      <c r="E10" s="12" t="n">
        <v>597072.415856451</v>
      </c>
      <c r="F10" s="12" t="n">
        <v>107473.0348541612</v>
      </c>
      <c r="G10" s="12" t="n">
        <v>704545.4507106122</v>
      </c>
      <c r="H10" s="12" t="n">
        <v>2149460.697083224</v>
      </c>
    </row>
    <row r="11">
      <c r="A11" s="8" t="inlineStr">
        <is>
          <t>M6</t>
        </is>
      </c>
      <c r="B11" s="10" t="n">
        <v>24</v>
      </c>
      <c r="C11" s="52" t="inlineStr">
        <is>
          <t>Stage 2 cost baseline and handover</t>
        </is>
      </c>
      <c r="D11" s="53" t="n">
        <v>0.1</v>
      </c>
      <c r="E11" s="12" t="n">
        <v>238828.9663425804</v>
      </c>
      <c r="F11" s="12" t="n">
        <v>42989.21394166447</v>
      </c>
      <c r="G11" s="12" t="n">
        <v>281818.1802842449</v>
      </c>
      <c r="H11" s="12" t="n">
        <v>2388289.663425804</v>
      </c>
    </row>
    <row r="12">
      <c r="A12" s="28" t="inlineStr">
        <is>
          <t>STAGE 2 · contract value INR 2,775,579 ex-GST</t>
        </is>
      </c>
    </row>
    <row r="13">
      <c r="A13" s="8" t="inlineStr">
        <is>
          <t>N1</t>
        </is>
      </c>
      <c r="B13" s="10" t="n">
        <v>40</v>
      </c>
      <c r="C13" s="52" t="inlineStr">
        <is>
          <t>Mobilisation and platform tenancy live</t>
        </is>
      </c>
      <c r="D13" s="53" t="n">
        <v>0.1</v>
      </c>
      <c r="E13" s="12" t="n">
        <v>277557.8901441372</v>
      </c>
      <c r="F13" s="12" t="n">
        <v>49960.4202259447</v>
      </c>
      <c r="G13" s="12" t="n">
        <v>327518.3103700819</v>
      </c>
      <c r="H13" s="12" t="n">
        <v>2665847.553569941</v>
      </c>
    </row>
    <row r="14">
      <c r="A14" s="8" t="inlineStr">
        <is>
          <t>N2</t>
        </is>
      </c>
      <c r="B14" s="10" t="n">
        <v>46</v>
      </c>
      <c r="C14" s="52" t="inlineStr">
        <is>
          <t>Information architecture and templates approved</t>
        </is>
      </c>
      <c r="D14" s="53" t="n">
        <v>0.15</v>
      </c>
      <c r="E14" s="12" t="n">
        <v>416336.8352162058</v>
      </c>
      <c r="F14" s="12" t="n">
        <v>74940.63033891704</v>
      </c>
      <c r="G14" s="12" t="n">
        <v>491277.4655551228</v>
      </c>
      <c r="H14" s="12" t="n">
        <v>3082184.388786147</v>
      </c>
    </row>
    <row r="15">
      <c r="A15" s="8" t="inlineStr">
        <is>
          <t>N3</t>
        </is>
      </c>
      <c r="B15" s="10" t="n">
        <v>58</v>
      </c>
      <c r="C15" s="52" t="inlineStr">
        <is>
          <t>Content loaded and staging frozen</t>
        </is>
      </c>
      <c r="D15" s="53" t="n">
        <v>0.25</v>
      </c>
      <c r="E15" s="12" t="n">
        <v>693894.725360343</v>
      </c>
      <c r="F15" s="12" t="n">
        <v>124901.0505648617</v>
      </c>
      <c r="G15" s="12" t="n">
        <v>818795.7759252047</v>
      </c>
      <c r="H15" s="12" t="n">
        <v>3776079.114146491</v>
      </c>
    </row>
    <row r="16">
      <c r="A16" s="8" t="inlineStr">
        <is>
          <t>N4</t>
        </is>
      </c>
      <c r="B16" s="10" t="n">
        <v>70</v>
      </c>
      <c r="C16" s="52" t="inlineStr">
        <is>
          <t>Audit clearance certificate issued</t>
        </is>
      </c>
      <c r="D16" s="53" t="n">
        <v>0.2</v>
      </c>
      <c r="E16" s="12" t="n">
        <v>555115.7802882744</v>
      </c>
      <c r="F16" s="12" t="n">
        <v>99920.84045188939</v>
      </c>
      <c r="G16" s="12" t="n">
        <v>655036.6207401637</v>
      </c>
      <c r="H16" s="12" t="n">
        <v>4331194.894434765</v>
      </c>
    </row>
    <row r="17">
      <c r="A17" s="8" t="inlineStr">
        <is>
          <t>N5</t>
        </is>
      </c>
      <c r="B17" s="10" t="n">
        <v>73</v>
      </c>
      <c r="C17" s="52" t="inlineStr">
        <is>
          <t>Cut-over complete and redirects asserted</t>
        </is>
      </c>
      <c r="D17" s="53" t="n">
        <v>0.2</v>
      </c>
      <c r="E17" s="12" t="n">
        <v>555115.7802882744</v>
      </c>
      <c r="F17" s="12" t="n">
        <v>99920.84045188939</v>
      </c>
      <c r="G17" s="12" t="n">
        <v>655036.6207401637</v>
      </c>
      <c r="H17" s="12" t="n">
        <v>4886310.674723039</v>
      </c>
    </row>
    <row r="18">
      <c r="A18" s="8" t="inlineStr">
        <is>
          <t>N6</t>
        </is>
      </c>
      <c r="B18" s="10" t="n">
        <v>76</v>
      </c>
      <c r="C18" s="52" t="inlineStr">
        <is>
          <t>Hypercare complete and handover</t>
        </is>
      </c>
      <c r="D18" s="53" t="n">
        <v>0.1</v>
      </c>
      <c r="E18" s="12" t="n">
        <v>277557.8901441372</v>
      </c>
      <c r="F18" s="12" t="n">
        <v>49960.4202259447</v>
      </c>
      <c r="G18" s="12" t="n">
        <v>327518.3103700819</v>
      </c>
      <c r="H18" s="12" t="n">
        <v>5163868.564867176</v>
      </c>
    </row>
    <row r="19">
      <c r="A19" s="18" t="inlineStr"/>
      <c r="B19" s="18" t="inlineStr"/>
      <c r="C19" s="18" t="inlineStr">
        <is>
          <t>PROGRAMME TOTAL</t>
        </is>
      </c>
      <c r="D19" s="18" t="inlineStr"/>
      <c r="E19" s="21" t="n">
        <v>5163868.564867176</v>
      </c>
      <c r="F19" s="21" t="n">
        <v>929496.3416760917</v>
      </c>
      <c r="G19" s="21" t="n">
        <v>6093364.906543268</v>
      </c>
      <c r="H19" s="21" t="inlineStr"/>
    </row>
    <row r="22">
      <c r="A22" s="54" t="inlineStr">
        <is>
          <t>EXIT CRITERIA — what has to be true before each invoice is raised</t>
        </is>
      </c>
    </row>
    <row r="24">
      <c r="A24" s="18" t="inlineStr">
        <is>
          <t>M1 · programme week 2 · Mobilisation and inception report</t>
        </is>
      </c>
    </row>
    <row r="25" ht="28" customHeight="1">
      <c r="A25" s="55" t="inlineStr">
        <is>
          <t>Exit criterion</t>
        </is>
      </c>
      <c r="B25" s="56" t="inlineStr">
        <is>
          <t>Team named and on site. Inception report accepted: scope, RACI, access list, and the written re-statement of the objective as adopting DBIM and the Gov.In CMS Platform rather than 'moving to india.gov.in'.</t>
        </is>
      </c>
    </row>
    <row r="26" ht="28" customHeight="1">
      <c r="A26" s="55" t="inlineStr">
        <is>
          <t>Evidence</t>
        </is>
      </c>
      <c r="B26" s="56" t="inlineStr">
        <is>
          <t>Signed inception report; access requests lodged for the Joomla database, Search Console and registry.gov.in.</t>
        </is>
      </c>
    </row>
    <row r="28">
      <c r="A28" s="18" t="inlineStr">
        <is>
          <t>M2 · programme week 8 · Live site remediated</t>
        </is>
      </c>
    </row>
    <row r="29" ht="42" customHeight="1">
      <c r="A29" s="55" t="inlineStr">
        <is>
          <t>Exit criterion</t>
        </is>
      </c>
      <c r="B29" s="56" t="inlineStr">
        <is>
          <t>A missing path returns a genuine HTTP 404 under both a browser and a bare user agent. Header charset is UTF-8 and Devanagari renders. All 389 Hindi pages declare lang="hi". CSP no longer carries a wildcard with unsafe-inline and unsafe-eval. robots.txt published. joomla.xml no longer publicly readable.</t>
        </is>
      </c>
    </row>
    <row r="30" ht="28" customHeight="1">
      <c r="A30" s="55" t="inlineStr">
        <is>
          <t>Evidence</t>
        </is>
      </c>
      <c r="B30" s="56" t="inlineStr">
        <is>
          <t>Automated assertion suite, run in front of the client, with before-and-after captures. Every item destination-independent.</t>
        </is>
      </c>
    </row>
    <row r="32">
      <c r="A32" s="18" t="inlineStr">
        <is>
          <t>M3 · programme week 12 · Platform decision pack</t>
        </is>
      </c>
    </row>
    <row r="33" ht="56" customHeight="1">
      <c r="A33" s="55" t="inlineStr">
        <is>
          <t>Exit criterion</t>
        </is>
      </c>
      <c r="B33" s="56" t="inlineStr">
        <is>
          <t>Written intake position from the MoHFW CIO, or a signed decision to take the DBIM-aligned rebuild instead. Redirect capability and destination status-code behaviour proven and documented, with the origin status-layer design if needed. Audit route settled in writing. S3WaaS ruled in or out on the record. DBIM logo lockup determined. registry.gov.in control confirmed.</t>
        </is>
      </c>
    </row>
    <row r="34" ht="14" customHeight="1">
      <c r="A34" s="55" t="inlineStr">
        <is>
          <t>Evidence</t>
        </is>
      </c>
      <c r="B34" s="56" t="inlineStr">
        <is>
          <t>Decision pack with one signed page per question, each with a named owner and a date.</t>
        </is>
      </c>
    </row>
    <row r="36">
      <c r="A36" s="18" t="inlineStr">
        <is>
          <t>M4 · programme week 16 · Draft inventory: the union register</t>
        </is>
      </c>
    </row>
    <row r="37" ht="42" customHeight="1">
      <c r="A37" s="55" t="inlineStr">
        <is>
          <t>Exit criterion</t>
        </is>
      </c>
      <c r="B37" s="56" t="inlineStr">
        <is>
          <t>One register unioning the Joomla database, a live two-signal crawl, Wayback and Common Crawl orphans, and Search Console traffic. Every URL appears exactly once, live-validated, with language tree, template and title. Hindi paired by hreflang, never by URL transformation.</t>
        </is>
      </c>
    </row>
    <row r="38" ht="28" customHeight="1">
      <c r="A38" s="55" t="inlineStr">
        <is>
          <t>Evidence</t>
        </is>
      </c>
      <c r="B38" s="56" t="inlineStr">
        <is>
          <t>Register delivered as a checked-in dataset with the crawl and validation code that produced it, so the client can re-run it.</t>
        </is>
      </c>
    </row>
    <row r="40">
      <c r="A40" s="18" t="inlineStr">
        <is>
          <t>M5 · programme week 20 · Signed disposition register and redirect map</t>
        </is>
      </c>
    </row>
    <row r="41" ht="42" customHeight="1">
      <c r="A41" s="55" t="inlineStr">
        <is>
          <t>Exit criterion</t>
        </is>
      </c>
      <c r="B41" s="56" t="inlineStr">
        <is>
          <t>Every verified URL carries a keep / archive / retire disposition signed by a named IPC content owner, including explicit dispositions for PvPI, the news archive, the legacy paths and the PDF estate. Redirect map complete: one decided row per surviving source path, with Hindi rows byte-verified through the real toolchain.</t>
        </is>
      </c>
    </row>
    <row r="42" ht="28" customHeight="1">
      <c r="A42" s="55" t="inlineStr">
        <is>
          <t>Evidence</t>
        </is>
      </c>
      <c r="B42" s="56" t="inlineStr">
        <is>
          <t>Signed CSV. Automated check that every source path resolves to exactly one row and no destination is unreachable.</t>
        </is>
      </c>
    </row>
    <row r="44">
      <c r="A44" s="18" t="inlineStr">
        <is>
          <t>M6 · programme week 24 · Stage 2 cost baseline and handover</t>
        </is>
      </c>
    </row>
    <row r="45" ht="28" customHeight="1">
      <c r="A45" s="55" t="inlineStr">
        <is>
          <t>Exit criterion</t>
        </is>
      </c>
      <c r="B45" s="56" t="inlineStr">
        <is>
          <t>Stage 2 re-costed from the delivered register rather than from estimate, with quantities, rates and a three-point spread. Operating documentation and SOPs handed over. Recurring obligations listed with named owners.</t>
        </is>
      </c>
    </row>
    <row r="46" ht="28" customHeight="1">
      <c r="A46" s="55" t="inlineStr">
        <is>
          <t>Evidence</t>
        </is>
      </c>
      <c r="B46" s="56" t="inlineStr">
        <is>
          <t>Stage 2 baseline document plus the re-runnable model. This is the deliverable that makes Stage 2 procurable.</t>
        </is>
      </c>
    </row>
    <row r="48">
      <c r="A48" s="18" t="inlineStr">
        <is>
          <t>N1 · programme week 40 · Mobilisation and platform tenancy live</t>
        </is>
      </c>
    </row>
    <row r="49" ht="28" customHeight="1">
      <c r="A49" s="55" t="inlineStr">
        <is>
          <t>Exit criterion</t>
        </is>
      </c>
      <c r="B49" s="56" t="inlineStr">
        <is>
          <t>Gov.In CMS tenancy provisioned at cms-ipc.digifootprint.gov.in with named editor accounts and roles. Stage 1's signed register loaded as the working backlog. DBIM logo lockup applied.</t>
        </is>
      </c>
    </row>
    <row r="50" ht="14" customHeight="1">
      <c r="A50" s="55" t="inlineStr">
        <is>
          <t>Evidence</t>
        </is>
      </c>
      <c r="B50" s="56" t="inlineStr">
        <is>
          <t>Tenancy reachable, roles demonstrated, register imported and row-counted against the Stage 1 sign-off.</t>
        </is>
      </c>
    </row>
    <row r="52">
      <c r="A52" s="18" t="inlineStr">
        <is>
          <t>N2 · programme week 46 · Information architecture and templates approved</t>
        </is>
      </c>
    </row>
    <row r="53" ht="42" customHeight="1">
      <c r="A53" s="55" t="inlineStr">
        <is>
          <t>Exit criterion</t>
        </is>
      </c>
      <c r="B53" s="56" t="inlineStr">
        <is>
          <t>IPC's deep Joomla trees re-expressed in the platform's flat structure and signed off. Template mapping complete across the nine source templates. CCPS banner slot reserved in the first wireframe, not retrofitted. Applications boundary decided in writing for /shop, /e-services, PvPI, iponline and onlinestore.</t>
        </is>
      </c>
    </row>
    <row r="54" ht="14" customHeight="1">
      <c r="A54" s="55" t="inlineStr">
        <is>
          <t>Evidence</t>
        </is>
      </c>
      <c r="B54" s="56" t="inlineStr">
        <is>
          <t>Approved IA document; wireframes showing the CCPS slot; a signed applications scope decision.</t>
        </is>
      </c>
    </row>
    <row r="56">
      <c r="A56" s="18" t="inlineStr">
        <is>
          <t>N3 · programme week 58 · Content loaded and staging frozen</t>
        </is>
      </c>
    </row>
    <row r="57" ht="56" customHeight="1">
      <c r="A57" s="55" t="inlineStr">
        <is>
          <t>Exit criterion</t>
        </is>
      </c>
      <c r="B57" s="56" t="inlineStr">
        <is>
          <t>Every item with a keep disposition is live on staging with alt text and heading structure present at import, not retrofitted. Hindi byte-verified through the real toolchain. WCAG 2.1 AA passes on a stratified sample covering every template plus 10% of pages. Staging frozen — GIGW 5.3.1 requires audit clearance before production hosting and the auditor must test a frozen instance.</t>
        </is>
      </c>
    </row>
    <row r="58" ht="14" customHeight="1">
      <c r="A58" s="55" t="inlineStr">
        <is>
          <t>Evidence</t>
        </is>
      </c>
      <c r="B58" s="56" t="inlineStr">
        <is>
          <t>Freeze declared in writing with a build identifier. Accessibility report against the stratified sample.</t>
        </is>
      </c>
    </row>
    <row r="60">
      <c r="A60" s="18" t="inlineStr">
        <is>
          <t>N4 · programme week 70 · Audit clearance certificate issued</t>
        </is>
      </c>
    </row>
    <row r="61" ht="42" customHeight="1">
      <c r="A61" s="55" t="inlineStr">
        <is>
          <t>Exit criterion</t>
        </is>
      </c>
      <c r="B61" s="56" t="inlineStr">
        <is>
          <t>Audit clearance certificate naming the specific frozen instance, from NIC, STQC or a CERT-In empanelled vendor. Every finding closed or formally accepted by the Web Information Manager. Zero code changes after retest — any change reopens the obligation.</t>
        </is>
      </c>
    </row>
    <row r="62" ht="14" customHeight="1">
      <c r="A62" s="55" t="inlineStr">
        <is>
          <t>Evidence</t>
        </is>
      </c>
      <c r="B62" s="56" t="inlineStr">
        <is>
          <t>The certificate itself, plus a findings register with a disposition against every row.</t>
        </is>
      </c>
    </row>
    <row r="64">
      <c r="A64" s="18" t="inlineStr">
        <is>
          <t>N5 · programme week 73 · Cut-over complete and redirects asserted</t>
        </is>
      </c>
    </row>
    <row r="65" ht="56" customHeight="1">
      <c r="A65" s="55" t="inlineStr">
        <is>
          <t>Exit criterion</t>
        </is>
      </c>
      <c r="B65" s="56" t="inlineStr">
        <is>
          <t>One A-record changed at registry.gov.in; MX records untouched and a post-cut-over mail delivery test passed. 100% of redirect rows return a 301 to a 200, asserted automatically. Retired paths return 404 or 410, never 200 — via the origin status layer if the destination still answers 200 at shallow depths. Sitemap and robots.txt published and accepted in Search Console.</t>
        </is>
      </c>
    </row>
    <row r="66" ht="14" customHeight="1">
      <c r="A66" s="55" t="inlineStr">
        <is>
          <t>Evidence</t>
        </is>
      </c>
      <c r="B66" s="56" t="inlineStr">
        <is>
          <t>Automated redirect assertion run over every row; mail test transcript; Search Console acceptance.</t>
        </is>
      </c>
    </row>
    <row r="68">
      <c r="A68" s="18" t="inlineStr">
        <is>
          <t>N6 · programme week 76 · Hypercare complete and handover</t>
        </is>
      </c>
    </row>
    <row r="69" ht="42" customHeight="1">
      <c r="A69" s="55" t="inlineStr">
        <is>
          <t>Exit criterion</t>
        </is>
      </c>
      <c r="B69" s="56" t="inlineStr">
        <is>
          <t>Four to six weeks of hypercare with the 404 log reviewed weekly and fixes applied. IGOD entry refreshed and India Portal depository records contributed. Every recurring obligation — security re-audit cadence, content review cycle, surveillance — carries a named owner and a calendar entry.</t>
        </is>
      </c>
    </row>
    <row r="70" ht="14" customHeight="1">
      <c r="A70" s="55" t="inlineStr">
        <is>
          <t>Evidence</t>
        </is>
      </c>
      <c r="B70" s="56" t="inlineStr">
        <is>
          <t>404-log review record; IGOD entry; a signed obligations register with owners.</t>
        </is>
      </c>
    </row>
  </sheetData>
  <mergeCells count="40">
    <mergeCell ref="A48:H48"/>
    <mergeCell ref="B49:H49"/>
    <mergeCell ref="A24:H24"/>
    <mergeCell ref="B65:H65"/>
    <mergeCell ref="A64:H64"/>
    <mergeCell ref="A60:H60"/>
    <mergeCell ref="B30:H30"/>
    <mergeCell ref="A36:H36"/>
    <mergeCell ref="B33:H33"/>
    <mergeCell ref="A1:H1"/>
    <mergeCell ref="B37:H37"/>
    <mergeCell ref="B45:H45"/>
    <mergeCell ref="B50:H50"/>
    <mergeCell ref="B26:H26"/>
    <mergeCell ref="B41:H41"/>
    <mergeCell ref="B54:H54"/>
    <mergeCell ref="B62:H62"/>
    <mergeCell ref="B25:H25"/>
    <mergeCell ref="B46:H46"/>
    <mergeCell ref="A12:H12"/>
    <mergeCell ref="A56:H56"/>
    <mergeCell ref="B66:H66"/>
    <mergeCell ref="B58:H58"/>
    <mergeCell ref="A2:H2"/>
    <mergeCell ref="B70:H70"/>
    <mergeCell ref="B42:H42"/>
    <mergeCell ref="A5:H5"/>
    <mergeCell ref="A32:H32"/>
    <mergeCell ref="B61:H61"/>
    <mergeCell ref="B57:H57"/>
    <mergeCell ref="B53:H53"/>
    <mergeCell ref="A52:H52"/>
    <mergeCell ref="A28:H28"/>
    <mergeCell ref="B69:H69"/>
    <mergeCell ref="B38:H38"/>
    <mergeCell ref="A68:H68"/>
    <mergeCell ref="B29:H29"/>
    <mergeCell ref="A44:H44"/>
    <mergeCell ref="B34:H34"/>
    <mergeCell ref="A40:H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9"/>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0" customWidth="1" min="3" max="3"/>
    <col width="10" customWidth="1" min="4" max="4"/>
    <col width="18" customWidth="1" min="5" max="5"/>
    <col width="18" customWidth="1" min="6" max="6"/>
    <col width="18" customWidth="1" min="7" max="7"/>
    <col width="19" customWidth="1" min="8" max="8"/>
    <col width="18" customWidth="1" min="9" max="9"/>
  </cols>
  <sheetData>
    <row r="1" ht="22" customHeight="1">
      <c r="A1" s="1" t="inlineStr">
        <is>
          <t>Cash flow</t>
        </is>
      </c>
    </row>
    <row r="2" ht="28" customHeight="1">
      <c r="A2" s="2" t="inlineStr">
        <is>
          <t>Cost is incurred as effort is spent; cash arrives four weeks after a milestone is certified. The peak negative position is working capital, not margin — and on engagements this size it decides whether a small supplier can take the work at all.</t>
        </is>
      </c>
    </row>
    <row r="4" ht="30" customHeight="1">
      <c r="A4" s="7" t="inlineStr">
        <is>
          <t>Period</t>
        </is>
      </c>
      <c r="B4" s="7" t="inlineStr">
        <is>
          <t>Weeks</t>
        </is>
      </c>
      <c r="C4" s="7" t="inlineStr">
        <is>
          <t>Stage</t>
        </is>
      </c>
      <c r="D4" s="7" t="inlineStr">
        <is>
          <t>PD spent</t>
        </is>
      </c>
      <c r="E4" s="7" t="inlineStr">
        <is>
          <t>Cost incurred (INR)</t>
        </is>
      </c>
      <c r="F4" s="7" t="inlineStr">
        <is>
          <t>Billed inc-GST (INR)</t>
        </is>
      </c>
      <c r="G4" s="7" t="inlineStr">
        <is>
          <t>Cash received (INR)</t>
        </is>
      </c>
      <c r="H4" s="7" t="inlineStr">
        <is>
          <t>Cumulative cost (INR)</t>
        </is>
      </c>
      <c r="I4" s="7" t="inlineStr">
        <is>
          <t>Net position (INR)</t>
        </is>
      </c>
    </row>
    <row r="5">
      <c r="A5" s="10" t="inlineStr">
        <is>
          <t>P1</t>
        </is>
      </c>
      <c r="B5" s="10" t="inlineStr">
        <is>
          <t>W1–W4</t>
        </is>
      </c>
      <c r="C5" s="10" t="inlineStr">
        <is>
          <t>Stage 1</t>
        </is>
      </c>
      <c r="D5" s="57" t="n">
        <v>27.6</v>
      </c>
      <c r="E5" s="12" t="n">
        <v>398562.9964003202</v>
      </c>
      <c r="F5" s="12" t="n">
        <v>281818.1802842449</v>
      </c>
      <c r="G5" s="12" t="n">
        <v>0</v>
      </c>
      <c r="H5" s="12" t="n">
        <v>398562.9964003202</v>
      </c>
      <c r="I5" s="58" t="n">
        <v>-398562.9964003202</v>
      </c>
    </row>
    <row r="6">
      <c r="A6" s="10" t="inlineStr">
        <is>
          <t>P2</t>
        </is>
      </c>
      <c r="B6" s="10" t="inlineStr">
        <is>
          <t>W5–W8</t>
        </is>
      </c>
      <c r="C6" s="10" t="inlineStr">
        <is>
          <t>Stage 1</t>
        </is>
      </c>
      <c r="D6" s="57" t="n">
        <v>55.3</v>
      </c>
      <c r="E6" s="12" t="n">
        <v>597534.4207946446</v>
      </c>
      <c r="F6" s="12" t="n">
        <v>563636.3605684898</v>
      </c>
      <c r="G6" s="12" t="n">
        <v>281818.1802842449</v>
      </c>
      <c r="H6" s="12" t="n">
        <v>996097.4171949648</v>
      </c>
      <c r="I6" s="58" t="n">
        <v>-714279.2369107199</v>
      </c>
    </row>
    <row r="7">
      <c r="A7" s="10" t="inlineStr">
        <is>
          <t>P3</t>
        </is>
      </c>
      <c r="B7" s="10" t="inlineStr">
        <is>
          <t>W9–W12</t>
        </is>
      </c>
      <c r="C7" s="10" t="inlineStr">
        <is>
          <t>Stage 1</t>
        </is>
      </c>
      <c r="D7" s="57" t="n">
        <v>26.3</v>
      </c>
      <c r="E7" s="12" t="n">
        <v>284071.2673545763</v>
      </c>
      <c r="F7" s="12" t="n">
        <v>422727.2704263673</v>
      </c>
      <c r="G7" s="12" t="n">
        <v>563636.3605684898</v>
      </c>
      <c r="H7" s="12" t="n">
        <v>1280168.684549541</v>
      </c>
      <c r="I7" s="58" t="n">
        <v>-434714.1436968066</v>
      </c>
    </row>
    <row r="8">
      <c r="A8" s="10" t="inlineStr">
        <is>
          <t>P4</t>
        </is>
      </c>
      <c r="B8" s="10" t="inlineStr">
        <is>
          <t>W13–W16</t>
        </is>
      </c>
      <c r="C8" s="10" t="inlineStr">
        <is>
          <t>Stage 1</t>
        </is>
      </c>
      <c r="D8" s="57" t="n">
        <v>30.8</v>
      </c>
      <c r="E8" s="12" t="n">
        <v>332565.9598907054</v>
      </c>
      <c r="F8" s="12" t="n">
        <v>563636.3605684898</v>
      </c>
      <c r="G8" s="12" t="n">
        <v>422727.2704263673</v>
      </c>
      <c r="H8" s="12" t="n">
        <v>1612734.644440247</v>
      </c>
      <c r="I8" s="58" t="n">
        <v>-344552.8331611448</v>
      </c>
    </row>
    <row r="9">
      <c r="A9" s="10" t="inlineStr">
        <is>
          <t>P5</t>
        </is>
      </c>
      <c r="B9" s="10" t="inlineStr">
        <is>
          <t>W17–W20</t>
        </is>
      </c>
      <c r="C9" s="10" t="inlineStr">
        <is>
          <t>Stage 1</t>
        </is>
      </c>
      <c r="D9" s="57" t="n">
        <v>29.1</v>
      </c>
      <c r="E9" s="12" t="n">
        <v>314319.4659183591</v>
      </c>
      <c r="F9" s="12" t="n">
        <v>704545.4507106122</v>
      </c>
      <c r="G9" s="12" t="n">
        <v>563636.3605684898</v>
      </c>
      <c r="H9" s="12" t="n">
        <v>1927054.110358606</v>
      </c>
      <c r="I9" s="58" t="n">
        <v>-95235.93851101398</v>
      </c>
    </row>
    <row r="10">
      <c r="A10" s="10" t="inlineStr">
        <is>
          <t>P6</t>
        </is>
      </c>
      <c r="B10" s="10" t="inlineStr">
        <is>
          <t>W21–W24</t>
        </is>
      </c>
      <c r="C10" s="10" t="inlineStr">
        <is>
          <t>Stage 1</t>
        </is>
      </c>
      <c r="D10" s="57" t="n">
        <v>9.5</v>
      </c>
      <c r="E10" s="12" t="n">
        <v>102992.1035533277</v>
      </c>
      <c r="F10" s="12" t="n">
        <v>281818.1802842449</v>
      </c>
      <c r="G10" s="12" t="n">
        <v>704545.4507106122</v>
      </c>
      <c r="H10" s="12" t="n">
        <v>2030046.213911933</v>
      </c>
      <c r="I10" s="12" t="n">
        <v>506317.4086462706</v>
      </c>
    </row>
    <row r="11">
      <c r="A11" s="15" t="inlineStr">
        <is>
          <t>P7</t>
        </is>
      </c>
      <c r="B11" s="15" t="inlineStr">
        <is>
          <t>W25–W28</t>
        </is>
      </c>
      <c r="C11" s="15" t="inlineStr">
        <is>
          <t>Gap</t>
        </is>
      </c>
      <c r="D11" s="59" t="n">
        <v>0</v>
      </c>
      <c r="E11" s="17" t="n">
        <v>0</v>
      </c>
      <c r="F11" s="17" t="n">
        <v>0</v>
      </c>
      <c r="G11" s="17" t="n">
        <v>281818.1802842449</v>
      </c>
      <c r="H11" s="17" t="n">
        <v>2030046.213911933</v>
      </c>
      <c r="I11" s="17" t="n">
        <v>788135.5889305156</v>
      </c>
    </row>
    <row r="12">
      <c r="A12" s="15" t="inlineStr">
        <is>
          <t>P8</t>
        </is>
      </c>
      <c r="B12" s="15" t="inlineStr">
        <is>
          <t>W29–W32</t>
        </is>
      </c>
      <c r="C12" s="15" t="inlineStr">
        <is>
          <t>Gap</t>
        </is>
      </c>
      <c r="D12" s="59" t="n">
        <v>0</v>
      </c>
      <c r="E12" s="17" t="n">
        <v>0</v>
      </c>
      <c r="F12" s="17" t="n">
        <v>0</v>
      </c>
      <c r="G12" s="17" t="n">
        <v>0</v>
      </c>
      <c r="H12" s="17" t="n">
        <v>2030046.213911933</v>
      </c>
      <c r="I12" s="17" t="n">
        <v>788135.5889305156</v>
      </c>
    </row>
    <row r="13">
      <c r="A13" s="15" t="inlineStr">
        <is>
          <t>P9</t>
        </is>
      </c>
      <c r="B13" s="15" t="inlineStr">
        <is>
          <t>W33–W36</t>
        </is>
      </c>
      <c r="C13" s="15" t="inlineStr">
        <is>
          <t>Gap</t>
        </is>
      </c>
      <c r="D13" s="59" t="n">
        <v>0</v>
      </c>
      <c r="E13" s="17" t="n">
        <v>0</v>
      </c>
      <c r="F13" s="17" t="n">
        <v>0</v>
      </c>
      <c r="G13" s="17" t="n">
        <v>0</v>
      </c>
      <c r="H13" s="17" t="n">
        <v>2030046.213911933</v>
      </c>
      <c r="I13" s="17" t="n">
        <v>788135.5889305156</v>
      </c>
    </row>
    <row r="14">
      <c r="A14" s="10" t="inlineStr">
        <is>
          <t>P10</t>
        </is>
      </c>
      <c r="B14" s="10" t="inlineStr">
        <is>
          <t>W37–W40</t>
        </is>
      </c>
      <c r="C14" s="10" t="inlineStr">
        <is>
          <t>Stage 2</t>
        </is>
      </c>
      <c r="D14" s="57" t="n">
        <v>18.4</v>
      </c>
      <c r="E14" s="12" t="n">
        <v>301342.1200067403</v>
      </c>
      <c r="F14" s="12" t="n">
        <v>327518.3103700819</v>
      </c>
      <c r="G14" s="12" t="n">
        <v>0</v>
      </c>
      <c r="H14" s="12" t="n">
        <v>2331388.333918673</v>
      </c>
      <c r="I14" s="12" t="n">
        <v>486793.4689237755</v>
      </c>
    </row>
    <row r="15">
      <c r="A15" s="10" t="inlineStr">
        <is>
          <t>P11</t>
        </is>
      </c>
      <c r="B15" s="10" t="inlineStr">
        <is>
          <t>W41–W44</t>
        </is>
      </c>
      <c r="C15" s="10" t="inlineStr">
        <is>
          <t>Stage 2</t>
        </is>
      </c>
      <c r="D15" s="57" t="n">
        <v>26.4</v>
      </c>
      <c r="E15" s="12" t="n">
        <v>288245.6365718032</v>
      </c>
      <c r="F15" s="12" t="n">
        <v>0</v>
      </c>
      <c r="G15" s="12" t="n">
        <v>327518.3103700819</v>
      </c>
      <c r="H15" s="12" t="n">
        <v>2619633.970490477</v>
      </c>
      <c r="I15" s="12" t="n">
        <v>526066.1427220544</v>
      </c>
    </row>
    <row r="16">
      <c r="A16" s="10" t="inlineStr">
        <is>
          <t>P12</t>
        </is>
      </c>
      <c r="B16" s="10" t="inlineStr">
        <is>
          <t>W45–W48</t>
        </is>
      </c>
      <c r="C16" s="10" t="inlineStr">
        <is>
          <t>Stage 2</t>
        </is>
      </c>
      <c r="D16" s="57" t="n">
        <v>19.1</v>
      </c>
      <c r="E16" s="12" t="n">
        <v>208991.1238244187</v>
      </c>
      <c r="F16" s="12" t="n">
        <v>491277.4655551228</v>
      </c>
      <c r="G16" s="12" t="n">
        <v>0</v>
      </c>
      <c r="H16" s="12" t="n">
        <v>2828625.094314895</v>
      </c>
      <c r="I16" s="12" t="n">
        <v>317075.0188976359</v>
      </c>
    </row>
    <row r="17">
      <c r="A17" s="10" t="inlineStr">
        <is>
          <t>P13</t>
        </is>
      </c>
      <c r="B17" s="10" t="inlineStr">
        <is>
          <t>W49–W52</t>
        </is>
      </c>
      <c r="C17" s="10" t="inlineStr">
        <is>
          <t>Stage 2</t>
        </is>
      </c>
      <c r="D17" s="57" t="n">
        <v>22.8</v>
      </c>
      <c r="E17" s="12" t="n">
        <v>248834.6330824954</v>
      </c>
      <c r="F17" s="12" t="n">
        <v>0</v>
      </c>
      <c r="G17" s="12" t="n">
        <v>491277.4655551228</v>
      </c>
      <c r="H17" s="12" t="n">
        <v>3077459.727397391</v>
      </c>
      <c r="I17" s="12" t="n">
        <v>559517.8513702629</v>
      </c>
    </row>
    <row r="18">
      <c r="A18" s="10" t="inlineStr">
        <is>
          <t>P14</t>
        </is>
      </c>
      <c r="B18" s="10" t="inlineStr">
        <is>
          <t>W53–W56</t>
        </is>
      </c>
      <c r="C18" s="10" t="inlineStr">
        <is>
          <t>Stage 2</t>
        </is>
      </c>
      <c r="D18" s="57" t="n">
        <v>24.1</v>
      </c>
      <c r="E18" s="12" t="n">
        <v>262994.972428514</v>
      </c>
      <c r="F18" s="12" t="n">
        <v>0</v>
      </c>
      <c r="G18" s="12" t="n">
        <v>0</v>
      </c>
      <c r="H18" s="12" t="n">
        <v>3340454.699825905</v>
      </c>
      <c r="I18" s="12" t="n">
        <v>296522.8789417488</v>
      </c>
    </row>
    <row r="19">
      <c r="A19" s="10" t="inlineStr">
        <is>
          <t>P15</t>
        </is>
      </c>
      <c r="B19" s="10" t="inlineStr">
        <is>
          <t>W57–W60</t>
        </is>
      </c>
      <c r="C19" s="10" t="inlineStr">
        <is>
          <t>Stage 2</t>
        </is>
      </c>
      <c r="D19" s="57" t="n">
        <v>16.6</v>
      </c>
      <c r="E19" s="12" t="n">
        <v>181010.2384713086</v>
      </c>
      <c r="F19" s="12" t="n">
        <v>818795.7759252047</v>
      </c>
      <c r="G19" s="12" t="n">
        <v>0</v>
      </c>
      <c r="H19" s="12" t="n">
        <v>3521464.938297214</v>
      </c>
      <c r="I19" s="12" t="n">
        <v>115512.64047044</v>
      </c>
    </row>
    <row r="20">
      <c r="A20" s="10" t="inlineStr">
        <is>
          <t>P16</t>
        </is>
      </c>
      <c r="B20" s="10" t="inlineStr">
        <is>
          <t>W61–W64</t>
        </is>
      </c>
      <c r="C20" s="10" t="inlineStr">
        <is>
          <t>Stage 2</t>
        </is>
      </c>
      <c r="D20" s="57" t="n">
        <v>12</v>
      </c>
      <c r="E20" s="12" t="n">
        <v>131436.9479061014</v>
      </c>
      <c r="F20" s="12" t="n">
        <v>0</v>
      </c>
      <c r="G20" s="12" t="n">
        <v>818795.7759252047</v>
      </c>
      <c r="H20" s="12" t="n">
        <v>3652901.886203315</v>
      </c>
      <c r="I20" s="12" t="n">
        <v>802871.4684895435</v>
      </c>
    </row>
    <row r="21">
      <c r="A21" s="10" t="inlineStr">
        <is>
          <t>P17</t>
        </is>
      </c>
      <c r="B21" s="10" t="inlineStr">
        <is>
          <t>W65–W68</t>
        </is>
      </c>
      <c r="C21" s="10" t="inlineStr">
        <is>
          <t>Stage 2</t>
        </is>
      </c>
      <c r="D21" s="57" t="n">
        <v>18.2</v>
      </c>
      <c r="E21" s="12" t="n">
        <v>198848.4753420325</v>
      </c>
      <c r="F21" s="12" t="n">
        <v>0</v>
      </c>
      <c r="G21" s="12" t="n">
        <v>0</v>
      </c>
      <c r="H21" s="12" t="n">
        <v>3851750.361545348</v>
      </c>
      <c r="I21" s="12" t="n">
        <v>604022.993147511</v>
      </c>
    </row>
    <row r="22">
      <c r="A22" s="10" t="inlineStr">
        <is>
          <t>P18</t>
        </is>
      </c>
      <c r="B22" s="10" t="inlineStr">
        <is>
          <t>W69–W72</t>
        </is>
      </c>
      <c r="C22" s="10" t="inlineStr">
        <is>
          <t>Stage 2</t>
        </is>
      </c>
      <c r="D22" s="57" t="n">
        <v>30.1</v>
      </c>
      <c r="E22" s="12" t="n">
        <v>329016.7268397739</v>
      </c>
      <c r="F22" s="12" t="n">
        <v>655036.6207401637</v>
      </c>
      <c r="G22" s="12" t="n">
        <v>0</v>
      </c>
      <c r="H22" s="12" t="n">
        <v>4180767.088385121</v>
      </c>
      <c r="I22" s="12" t="n">
        <v>275006.2663077372</v>
      </c>
    </row>
    <row r="23">
      <c r="A23" s="10" t="inlineStr">
        <is>
          <t>P19</t>
        </is>
      </c>
      <c r="B23" s="10" t="inlineStr">
        <is>
          <t>W73–W76</t>
        </is>
      </c>
      <c r="C23" s="10" t="inlineStr">
        <is>
          <t>Stage 2</t>
        </is>
      </c>
      <c r="D23" s="57" t="n">
        <v>19.1</v>
      </c>
      <c r="E23" s="12" t="n">
        <v>208521.1917519776</v>
      </c>
      <c r="F23" s="12" t="n">
        <v>982554.9311102456</v>
      </c>
      <c r="G23" s="12" t="n">
        <v>655036.6207401637</v>
      </c>
      <c r="H23" s="12" t="n">
        <v>4389288.280137099</v>
      </c>
      <c r="I23" s="12" t="n">
        <v>721521.6952959234</v>
      </c>
    </row>
    <row r="24">
      <c r="A24" s="10" t="inlineStr">
        <is>
          <t>P20</t>
        </is>
      </c>
      <c r="B24" s="10" t="inlineStr">
        <is>
          <t>W77–W80</t>
        </is>
      </c>
      <c r="C24" s="10" t="inlineStr">
        <is>
          <t>Stage 2</t>
        </is>
      </c>
      <c r="D24" s="57" t="n">
        <v>0</v>
      </c>
      <c r="E24" s="12" t="n">
        <v>0</v>
      </c>
      <c r="F24" s="12" t="n">
        <v>0</v>
      </c>
      <c r="G24" s="12" t="n">
        <v>982554.9311102456</v>
      </c>
      <c r="H24" s="12" t="n">
        <v>4389288.280137099</v>
      </c>
      <c r="I24" s="12" t="n">
        <v>1704076.626406169</v>
      </c>
    </row>
    <row r="26">
      <c r="A26" s="5" t="inlineStr">
        <is>
          <t>Stage 1 blended rate</t>
        </is>
      </c>
      <c r="E26" s="60" t="n">
        <v>10800.48245054244</v>
      </c>
      <c r="F26" s="25" t="inlineStr">
        <is>
          <t>INR/PD — an output of the role mix, not an input</t>
        </is>
      </c>
    </row>
    <row r="27">
      <c r="A27" s="5" t="inlineStr">
        <is>
          <t>Stage 2 blended rate</t>
        </is>
      </c>
      <c r="E27" s="60" t="n">
        <v>10924.76821192053</v>
      </c>
      <c r="F27" s="25" t="inlineStr">
        <is>
          <t>Higher: security and accessibility rise from cameo to substantial</t>
        </is>
      </c>
    </row>
    <row r="28">
      <c r="A28" s="5" t="inlineStr">
        <is>
          <t>Peak negative position</t>
        </is>
      </c>
      <c r="E28" s="61" t="n">
        <v>-714279.2369107199</v>
      </c>
      <c r="F28" s="25" t="inlineStr">
        <is>
          <t>The working capital carried across the whole programme</t>
        </is>
      </c>
    </row>
    <row r="29">
      <c r="A29" s="5" t="inlineStr">
        <is>
          <t>Peak as share of Stage 1</t>
        </is>
      </c>
      <c r="E29" s="62" t="n">
        <v>-0.2990756305020997</v>
      </c>
      <c r="F29" s="25" t="inlineStr">
        <is>
          <t>Ask for a mobilisation advance if this is uncomfortable</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9"/>
  <sheetViews>
    <sheetView showGridLines="0" workbookViewId="0">
      <pane ySplit="4" topLeftCell="A5" activePane="bottomLeft" state="frozen"/>
      <selection pane="bottomLeft" activeCell="A1" sqref="A1"/>
    </sheetView>
  </sheetViews>
  <sheetFormatPr baseColWidth="8" defaultRowHeight="15"/>
  <cols>
    <col width="7" customWidth="1" min="1" max="1"/>
    <col width="38" customWidth="1" min="2" max="2"/>
    <col width="9" customWidth="1" min="3" max="3"/>
    <col width="9"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8" max="18"/>
    <col width="6.5" customWidth="1" min="19" max="19"/>
    <col width="6.5" customWidth="1" min="20" max="20"/>
    <col width="6.5" customWidth="1" min="21" max="21"/>
    <col width="6.5" customWidth="1" min="22" max="22"/>
    <col width="6.5" customWidth="1" min="23" max="23"/>
  </cols>
  <sheetData>
    <row r="1" ht="22" customHeight="1">
      <c r="A1" s="1" t="inlineStr">
        <is>
          <t>Resource plan</t>
        </is>
      </c>
    </row>
    <row r="2" ht="28" customHeight="1">
      <c r="A2" s="2" t="inlineStr">
        <is>
          <t>Person-days by role and four-week period, derived from each package's own role mix. One period = 20 working days. The gap periods are empty by design.</t>
        </is>
      </c>
    </row>
    <row r="4" ht="30" customHeight="1">
      <c r="A4" s="7" t="inlineStr">
        <is>
          <t>Ref</t>
        </is>
      </c>
      <c r="B4" s="7" t="inlineStr">
        <is>
          <t>Role</t>
        </is>
      </c>
      <c r="C4" s="7" t="inlineStr">
        <is>
          <t>INR/PD</t>
        </is>
      </c>
      <c r="D4" s="7" t="inlineStr">
        <is>
          <t>Total PD</t>
        </is>
      </c>
      <c r="E4" s="7" t="inlineStr">
        <is>
          <t>P1</t>
        </is>
      </c>
      <c r="F4" s="7" t="inlineStr">
        <is>
          <t>P2</t>
        </is>
      </c>
      <c r="G4" s="7" t="inlineStr">
        <is>
          <t>P3</t>
        </is>
      </c>
      <c r="H4" s="7" t="inlineStr">
        <is>
          <t>P4</t>
        </is>
      </c>
      <c r="I4" s="7" t="inlineStr">
        <is>
          <t>P5</t>
        </is>
      </c>
      <c r="J4" s="7" t="inlineStr">
        <is>
          <t>P6</t>
        </is>
      </c>
      <c r="K4" s="7" t="inlineStr">
        <is>
          <t>P7</t>
        </is>
      </c>
      <c r="L4" s="7" t="inlineStr">
        <is>
          <t>P8</t>
        </is>
      </c>
      <c r="M4" s="7" t="inlineStr">
        <is>
          <t>P9</t>
        </is>
      </c>
      <c r="N4" s="7" t="inlineStr">
        <is>
          <t>P10</t>
        </is>
      </c>
      <c r="O4" s="7" t="inlineStr">
        <is>
          <t>P11</t>
        </is>
      </c>
      <c r="P4" s="7" t="inlineStr">
        <is>
          <t>P12</t>
        </is>
      </c>
      <c r="Q4" s="7" t="inlineStr">
        <is>
          <t>P13</t>
        </is>
      </c>
      <c r="R4" s="7" t="inlineStr">
        <is>
          <t>P14</t>
        </is>
      </c>
      <c r="S4" s="7" t="inlineStr">
        <is>
          <t>P15</t>
        </is>
      </c>
      <c r="T4" s="7" t="inlineStr">
        <is>
          <t>P16</t>
        </is>
      </c>
      <c r="U4" s="7" t="inlineStr">
        <is>
          <t>P17</t>
        </is>
      </c>
      <c r="V4" s="7" t="inlineStr">
        <is>
          <t>P18</t>
        </is>
      </c>
      <c r="W4" s="7" t="inlineStr">
        <is>
          <t>P19</t>
        </is>
      </c>
    </row>
    <row r="5">
      <c r="A5" s="30" t="inlineStr">
        <is>
          <t>ME</t>
        </is>
      </c>
      <c r="B5" s="31" t="inlineStr">
        <is>
          <t>Migration Engineer</t>
        </is>
      </c>
      <c r="C5" s="63" t="n">
        <v>12000</v>
      </c>
      <c r="D5" s="64" t="n">
        <v>116.5991562032032</v>
      </c>
      <c r="E5" s="64" t="n">
        <v>10.90104211869815</v>
      </c>
      <c r="F5" s="64" t="n">
        <v>26.67499489470325</v>
      </c>
      <c r="G5" s="64" t="n">
        <v>4.53307275047862</v>
      </c>
      <c r="H5" s="64" t="n">
        <v>10.38900446713465</v>
      </c>
      <c r="I5" s="64" t="n">
        <v>10.77592442337497</v>
      </c>
      <c r="J5" s="64" t="n">
        <v>2.606618652566323</v>
      </c>
      <c r="K5" s="64" t="inlineStr"/>
      <c r="L5" s="64" t="inlineStr"/>
      <c r="M5" s="64" t="inlineStr"/>
      <c r="N5" s="64" t="n">
        <v>1.883112582781457</v>
      </c>
      <c r="O5" s="64" t="n">
        <v>4.839028697571743</v>
      </c>
      <c r="P5" s="64" t="n">
        <v>5.317279512246399</v>
      </c>
      <c r="Q5" s="64" t="n">
        <v>7.345497739934824</v>
      </c>
      <c r="R5" s="64" t="n">
        <v>6.088458950909282</v>
      </c>
      <c r="S5" s="64" t="n">
        <v>1.241713024282561</v>
      </c>
      <c r="T5" s="64" t="n">
        <v>2.501686534216336</v>
      </c>
      <c r="U5" s="64" t="n">
        <v>4.150456217807211</v>
      </c>
      <c r="V5" s="64" t="n">
        <v>10.81705518763797</v>
      </c>
      <c r="W5" s="64" t="n">
        <v>6.534210448859453</v>
      </c>
    </row>
    <row r="6">
      <c r="A6" s="30" t="inlineStr">
        <is>
          <t>BA</t>
        </is>
      </c>
      <c r="B6" s="31" t="inlineStr">
        <is>
          <t>Content Strategist / Business Analyst</t>
        </is>
      </c>
      <c r="C6" s="63" t="n">
        <v>13000</v>
      </c>
      <c r="D6" s="64" t="n">
        <v>95.76772845287249</v>
      </c>
      <c r="E6" s="64" t="n">
        <v>2.460648008022609</v>
      </c>
      <c r="F6" s="64" t="n">
        <v>7.149086091105235</v>
      </c>
      <c r="G6" s="64" t="n">
        <v>11.91708034764639</v>
      </c>
      <c r="H6" s="64" t="n">
        <v>15.62222584860364</v>
      </c>
      <c r="I6" s="64" t="n">
        <v>14.23012857446744</v>
      </c>
      <c r="J6" s="64" t="n">
        <v>3.73615340201173</v>
      </c>
      <c r="K6" s="64" t="inlineStr"/>
      <c r="L6" s="64" t="inlineStr"/>
      <c r="M6" s="64" t="inlineStr"/>
      <c r="N6" s="64" t="n">
        <v>6.218175903334493</v>
      </c>
      <c r="O6" s="64" t="n">
        <v>5.487756477285929</v>
      </c>
      <c r="P6" s="64" t="n">
        <v>2.474776344835599</v>
      </c>
      <c r="Q6" s="64" t="n">
        <v>2.09978422878388</v>
      </c>
      <c r="R6" s="64" t="n">
        <v>3.713880728310844</v>
      </c>
      <c r="S6" s="64" t="n">
        <v>2.637816395292868</v>
      </c>
      <c r="T6" s="64" t="n">
        <v>1.561752062274892</v>
      </c>
      <c r="U6" s="64" t="n">
        <v>2.741075093915805</v>
      </c>
      <c r="V6" s="64" t="n">
        <v>7.208807249912859</v>
      </c>
      <c r="W6" s="64" t="n">
        <v>6.508581697068275</v>
      </c>
    </row>
    <row r="7">
      <c r="A7" s="30" t="inlineStr">
        <is>
          <t>EL</t>
        </is>
      </c>
      <c r="B7" s="31" t="inlineStr">
        <is>
          <t>Engagement Lead / Programme Manager</t>
        </is>
      </c>
      <c r="C7" s="63" t="n">
        <v>22000</v>
      </c>
      <c r="D7" s="64" t="n">
        <v>57.04099795590905</v>
      </c>
      <c r="E7" s="64" t="n">
        <v>6.98751522886813</v>
      </c>
      <c r="F7" s="64" t="n">
        <v>5.31465846725068</v>
      </c>
      <c r="G7" s="64" t="n">
        <v>5.684146661251956</v>
      </c>
      <c r="H7" s="64" t="n">
        <v>4.397365666879387</v>
      </c>
      <c r="I7" s="64" t="n">
        <v>4.096301212507977</v>
      </c>
      <c r="J7" s="64" t="n">
        <v>3.193107849393745</v>
      </c>
      <c r="K7" s="64" t="inlineStr"/>
      <c r="L7" s="64" t="inlineStr"/>
      <c r="M7" s="64" t="inlineStr"/>
      <c r="N7" s="64" t="n">
        <v>2.373863134657836</v>
      </c>
      <c r="O7" s="64" t="n">
        <v>2.373863134657836</v>
      </c>
      <c r="P7" s="64" t="n">
        <v>2.373863134657836</v>
      </c>
      <c r="Q7" s="64" t="n">
        <v>2.373863134657836</v>
      </c>
      <c r="R7" s="64" t="n">
        <v>3.172759381898454</v>
      </c>
      <c r="S7" s="64" t="n">
        <v>3.43905813097866</v>
      </c>
      <c r="T7" s="64" t="n">
        <v>2.906460632818248</v>
      </c>
      <c r="U7" s="64" t="n">
        <v>2.990154525386313</v>
      </c>
      <c r="V7" s="64" t="n">
        <v>2.990154525386313</v>
      </c>
      <c r="W7" s="64" t="n">
        <v>2.373863134657836</v>
      </c>
    </row>
    <row r="8">
      <c r="A8" s="30" t="inlineStr">
        <is>
          <t>SA</t>
        </is>
      </c>
      <c r="B8" s="31" t="inlineStr">
        <is>
          <t>Solution Architect — Gov.In CMS / DBIM</t>
        </is>
      </c>
      <c r="C8" s="63" t="n">
        <v>24000</v>
      </c>
      <c r="D8" s="64" t="n">
        <v>33.16740325786679</v>
      </c>
      <c r="E8" s="64" t="n">
        <v>4.544787724081916</v>
      </c>
      <c r="F8" s="64" t="n">
        <v>5.631688460869061</v>
      </c>
      <c r="G8" s="64" t="n">
        <v>2.219624644659743</v>
      </c>
      <c r="H8" s="64" t="inlineStr"/>
      <c r="I8" s="64" t="inlineStr"/>
      <c r="J8" s="64" t="inlineStr"/>
      <c r="K8" s="64" t="inlineStr"/>
      <c r="L8" s="64" t="inlineStr"/>
      <c r="M8" s="64" t="inlineStr"/>
      <c r="N8" s="64" t="n">
        <v>6.661272994849154</v>
      </c>
      <c r="O8" s="64" t="n">
        <v>8.60905813097866</v>
      </c>
      <c r="P8" s="64" t="n">
        <v>1.369536423841059</v>
      </c>
      <c r="Q8" s="64" t="n">
        <v>1.369536423841059</v>
      </c>
      <c r="R8" s="64" t="n">
        <v>0.9130242825607062</v>
      </c>
      <c r="S8" s="64" t="inlineStr"/>
      <c r="T8" s="64" t="inlineStr"/>
      <c r="U8" s="64" t="n">
        <v>0.9244370860927151</v>
      </c>
      <c r="V8" s="64" t="n">
        <v>0.9244370860927151</v>
      </c>
      <c r="W8" s="64" t="inlineStr"/>
    </row>
    <row r="9">
      <c r="A9" s="30" t="inlineStr">
        <is>
          <t>SE</t>
        </is>
      </c>
      <c r="B9" s="31" t="inlineStr">
        <is>
          <t>Security Engineer</t>
        </is>
      </c>
      <c r="C9" s="63" t="n">
        <v>20000</v>
      </c>
      <c r="D9" s="64" t="n">
        <v>28.06999390012833</v>
      </c>
      <c r="E9" s="64" t="n">
        <v>1.062848755583918</v>
      </c>
      <c r="F9" s="64" t="n">
        <v>5.615308232291002</v>
      </c>
      <c r="G9" s="64" t="n">
        <v>0.4151040204211869</v>
      </c>
      <c r="H9" s="64" t="inlineStr"/>
      <c r="I9" s="64" t="inlineStr"/>
      <c r="J9" s="64" t="inlineStr"/>
      <c r="K9" s="64" t="inlineStr"/>
      <c r="L9" s="64" t="inlineStr"/>
      <c r="M9" s="64" t="inlineStr"/>
      <c r="N9" s="64" t="inlineStr"/>
      <c r="O9" s="64" t="inlineStr"/>
      <c r="P9" s="64" t="inlineStr"/>
      <c r="Q9" s="64" t="inlineStr"/>
      <c r="R9" s="64" t="n">
        <v>0.798896247240618</v>
      </c>
      <c r="S9" s="64" t="n">
        <v>6.032047093451066</v>
      </c>
      <c r="T9" s="64" t="n">
        <v>5.061197939661516</v>
      </c>
      <c r="U9" s="64" t="n">
        <v>6.391169977924944</v>
      </c>
      <c r="V9" s="64" t="n">
        <v>2.693421633554083</v>
      </c>
      <c r="W9" s="64" t="inlineStr"/>
    </row>
    <row r="10">
      <c r="A10" s="30" t="inlineStr">
        <is>
          <t>CO</t>
        </is>
      </c>
      <c r="B10" s="31" t="inlineStr">
        <is>
          <t>Content Operations / Editorial support</t>
        </is>
      </c>
      <c r="C10" s="63" t="n">
        <v>7500</v>
      </c>
      <c r="D10" s="64" t="n">
        <v>20.56323558042462</v>
      </c>
      <c r="E10" s="64" t="inlineStr"/>
      <c r="F10" s="64" t="n">
        <v>1.482514358647096</v>
      </c>
      <c r="G10" s="64" t="n">
        <v>1.532691767708998</v>
      </c>
      <c r="H10" s="64" t="n">
        <v>0.3831729419272494</v>
      </c>
      <c r="I10" s="64" t="inlineStr"/>
      <c r="J10" s="64" t="inlineStr"/>
      <c r="K10" s="64" t="inlineStr"/>
      <c r="L10" s="64" t="inlineStr"/>
      <c r="M10" s="64" t="inlineStr"/>
      <c r="N10" s="64" t="inlineStr"/>
      <c r="O10" s="64" t="n">
        <v>1.867134657836644</v>
      </c>
      <c r="P10" s="64" t="n">
        <v>3.553620939766636</v>
      </c>
      <c r="Q10" s="64" t="n">
        <v>4.476427625354778</v>
      </c>
      <c r="R10" s="64" t="n">
        <v>4.274257962787765</v>
      </c>
      <c r="S10" s="64" t="n">
        <v>1.076064333017975</v>
      </c>
      <c r="T10" s="64" t="inlineStr"/>
      <c r="U10" s="64" t="inlineStr"/>
      <c r="V10" s="64" t="n">
        <v>1.15041059602649</v>
      </c>
      <c r="W10" s="64" t="n">
        <v>0.7669403973509933</v>
      </c>
    </row>
    <row r="11">
      <c r="A11" s="30" t="inlineStr">
        <is>
          <t>QA</t>
        </is>
      </c>
      <c r="B11" s="31" t="inlineStr">
        <is>
          <t>QA Engineer</t>
        </is>
      </c>
      <c r="C11" s="63" t="n">
        <v>9500</v>
      </c>
      <c r="D11" s="64" t="n">
        <v>19.38735409261944</v>
      </c>
      <c r="E11" s="64" t="n">
        <v>1.686645181876196</v>
      </c>
      <c r="F11" s="64" t="n">
        <v>2.179296107211231</v>
      </c>
      <c r="G11" s="64" t="inlineStr"/>
      <c r="H11" s="64" t="inlineStr"/>
      <c r="I11" s="64" t="inlineStr"/>
      <c r="J11" s="64" t="inlineStr"/>
      <c r="K11" s="64" t="inlineStr"/>
      <c r="L11" s="64" t="inlineStr"/>
      <c r="M11" s="64" t="inlineStr"/>
      <c r="N11" s="64" t="inlineStr"/>
      <c r="O11" s="64" t="n">
        <v>0.6208565121412805</v>
      </c>
      <c r="P11" s="64" t="n">
        <v>1.791751627327786</v>
      </c>
      <c r="Q11" s="64" t="n">
        <v>2.113065942152035</v>
      </c>
      <c r="R11" s="64" t="n">
        <v>2.113065942152035</v>
      </c>
      <c r="S11" s="64" t="n">
        <v>0.6426286296484971</v>
      </c>
      <c r="T11" s="64" t="inlineStr"/>
      <c r="U11" s="64" t="n">
        <v>1.004326710816777</v>
      </c>
      <c r="V11" s="64" t="n">
        <v>4.332300220750552</v>
      </c>
      <c r="W11" s="64" t="n">
        <v>2.903417218543046</v>
      </c>
    </row>
    <row r="12">
      <c r="A12" s="30" t="inlineStr">
        <is>
          <t>AX</t>
        </is>
      </c>
      <c r="B12" s="31" t="inlineStr">
        <is>
          <t>Accessibility Specialist</t>
        </is>
      </c>
      <c r="C12" s="63" t="n">
        <v>15000</v>
      </c>
      <c r="D12" s="64" t="n">
        <v>14.90413055697604</v>
      </c>
      <c r="E12" s="64" t="inlineStr"/>
      <c r="F12" s="64" t="n">
        <v>1.277243139757498</v>
      </c>
      <c r="G12" s="64" t="inlineStr"/>
      <c r="H12" s="64" t="inlineStr"/>
      <c r="I12" s="64" t="inlineStr"/>
      <c r="J12" s="64" t="inlineStr"/>
      <c r="K12" s="64" t="inlineStr"/>
      <c r="L12" s="64" t="inlineStr"/>
      <c r="M12" s="64" t="inlineStr"/>
      <c r="N12" s="64" t="n">
        <v>1.293451066961001</v>
      </c>
      <c r="O12" s="64" t="n">
        <v>2.586902133922001</v>
      </c>
      <c r="P12" s="64" t="n">
        <v>2.24920020376974</v>
      </c>
      <c r="Q12" s="64" t="n">
        <v>2.99893360502632</v>
      </c>
      <c r="R12" s="64" t="n">
        <v>2.99893360502632</v>
      </c>
      <c r="S12" s="64" t="n">
        <v>1.49946680251316</v>
      </c>
      <c r="T12" s="64" t="inlineStr"/>
      <c r="U12" s="64" t="inlineStr"/>
      <c r="V12" s="64" t="inlineStr"/>
      <c r="W12" s="64" t="inlineStr"/>
    </row>
    <row r="13">
      <c r="A13" s="18" t="inlineStr"/>
      <c r="B13" s="18" t="inlineStr">
        <is>
          <t>TOTAL PD</t>
        </is>
      </c>
      <c r="C13" s="18" t="inlineStr"/>
      <c r="D13" s="65" t="n">
        <v>385.4999999999999</v>
      </c>
      <c r="E13" s="65" t="n">
        <v>27.64348701713092</v>
      </c>
      <c r="F13" s="65" t="n">
        <v>55.32478975183506</v>
      </c>
      <c r="G13" s="65" t="n">
        <v>26.30172019216689</v>
      </c>
      <c r="H13" s="65" t="n">
        <v>30.79176892454493</v>
      </c>
      <c r="I13" s="65" t="n">
        <v>29.10235421035038</v>
      </c>
      <c r="J13" s="65" t="n">
        <v>9.535879903971797</v>
      </c>
      <c r="K13" s="65" t="n">
        <v>0</v>
      </c>
      <c r="L13" s="65" t="n">
        <v>0</v>
      </c>
      <c r="M13" s="65" t="n">
        <v>0</v>
      </c>
      <c r="N13" s="65" t="n">
        <v>18.42987568258394</v>
      </c>
      <c r="O13" s="65" t="n">
        <v>26.38459974439409</v>
      </c>
      <c r="P13" s="65" t="n">
        <v>19.13002818644506</v>
      </c>
      <c r="Q13" s="65" t="n">
        <v>22.77710869975073</v>
      </c>
      <c r="R13" s="65" t="n">
        <v>24.07327710088602</v>
      </c>
      <c r="S13" s="65" t="n">
        <v>16.56879440918479</v>
      </c>
      <c r="T13" s="65" t="n">
        <v>12.03109716897099</v>
      </c>
      <c r="U13" s="65" t="n">
        <v>18.20161961194376</v>
      </c>
      <c r="V13" s="65" t="n">
        <v>30.11658649936098</v>
      </c>
      <c r="W13" s="65" t="n">
        <v>19.08701289647961</v>
      </c>
    </row>
    <row r="14">
      <c r="A14" s="18" t="inlineStr"/>
      <c r="B14" s="18" t="inlineStr">
        <is>
          <t>FTE</t>
        </is>
      </c>
      <c r="C14" s="18" t="inlineStr"/>
      <c r="D14" s="18" t="inlineStr"/>
      <c r="E14" s="66" t="n">
        <v>1.382174350856546</v>
      </c>
      <c r="F14" s="66" t="n">
        <v>2.766239487591753</v>
      </c>
      <c r="G14" s="66" t="n">
        <v>1.315086009608345</v>
      </c>
      <c r="H14" s="66" t="n">
        <v>1.539588446227246</v>
      </c>
      <c r="I14" s="66" t="n">
        <v>1.455117710517519</v>
      </c>
      <c r="J14" s="66" t="n">
        <v>0.4767939951985898</v>
      </c>
      <c r="K14" s="66" t="n">
        <v>0</v>
      </c>
      <c r="L14" s="66" t="n">
        <v>0</v>
      </c>
      <c r="M14" s="66" t="n">
        <v>0</v>
      </c>
      <c r="N14" s="66" t="n">
        <v>0.921493784129197</v>
      </c>
      <c r="O14" s="66" t="n">
        <v>1.319229987219705</v>
      </c>
      <c r="P14" s="66" t="n">
        <v>0.9565014093222528</v>
      </c>
      <c r="Q14" s="66" t="n">
        <v>1.138855434987537</v>
      </c>
      <c r="R14" s="66" t="n">
        <v>1.203663855044301</v>
      </c>
      <c r="S14" s="66" t="n">
        <v>0.8284397204592393</v>
      </c>
      <c r="T14" s="66" t="n">
        <v>0.6015548584485495</v>
      </c>
      <c r="U14" s="66" t="n">
        <v>0.9100809805971881</v>
      </c>
      <c r="V14" s="66" t="n">
        <v>1.505829324968049</v>
      </c>
      <c r="W14" s="66" t="n">
        <v>0.9543506448239804</v>
      </c>
    </row>
    <row r="16">
      <c r="B16" s="5" t="inlineStr">
        <is>
          <t>Peak FTE in any period</t>
        </is>
      </c>
      <c r="D16" s="67" t="n">
        <v>2.766239487591753</v>
      </c>
    </row>
    <row r="17">
      <c r="B17" s="5" t="inlineStr">
        <is>
          <t>Average FTE while working (gap excluded)</t>
        </is>
      </c>
      <c r="D17" s="67" t="n">
        <v>1.2046875</v>
      </c>
    </row>
    <row r="19" ht="58" customHeight="1">
      <c r="B19" s="2" t="inlineStr">
        <is>
          <t>Eight named people across both stages, but never eight at once. Stage 1 is front-loaded on purpose — three people for weeks 5–8 on the remediation sprint, because that work is destination-independent and every week it waits is another week of indexed junk. Stage 2 is longer and thinner. A boutique can staff this shape; a large firm's bench cannot, which is another reason the tier question matters.</t>
        </is>
      </c>
    </row>
  </sheetData>
  <mergeCells count="3">
    <mergeCell ref="A2:W2"/>
    <mergeCell ref="A1:W1"/>
    <mergeCell ref="B19:W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6"/>
  <sheetViews>
    <sheetView showGridLines="0" workbookViewId="0">
      <pane ySplit="4" topLeftCell="A5" activePane="bottomLeft" state="frozen"/>
      <selection pane="bottomLeft" activeCell="A1" sqref="A1"/>
    </sheetView>
  </sheetViews>
  <sheetFormatPr baseColWidth="8" defaultRowHeight="15"/>
  <cols>
    <col width="10" customWidth="1" min="1" max="1"/>
    <col width="7" customWidth="1" min="2" max="2"/>
    <col width="24" customWidth="1" min="3" max="3"/>
    <col width="52" customWidth="1" min="4" max="4"/>
    <col width="6" customWidth="1" min="5" max="5"/>
    <col width="6" customWidth="1" min="6" max="6"/>
    <col width="6" customWidth="1" min="7" max="7"/>
    <col width="9" customWidth="1" min="8" max="8"/>
    <col width="9" customWidth="1" min="9" max="9"/>
    <col width="12" customWidth="1" min="10" max="10"/>
  </cols>
  <sheetData>
    <row r="1" ht="22" customHeight="1">
      <c r="A1" s="1" t="inlineStr">
        <is>
          <t>Work packages</t>
        </is>
      </c>
    </row>
    <row r="2" ht="28" customHeight="1">
      <c r="A2" s="2" t="inlineStr">
        <is>
          <t>Three-point estimates. Expected = (O + 4M + P) / 6. The P80 column scales expected to the bid basis, which is where the risk reserve lives.</t>
        </is>
      </c>
    </row>
    <row r="4" ht="30" customHeight="1">
      <c r="A4" s="7" t="inlineStr">
        <is>
          <t>Stage</t>
        </is>
      </c>
      <c r="B4" s="7" t="inlineStr">
        <is>
          <t>Ref</t>
        </is>
      </c>
      <c r="C4" s="7" t="inlineStr">
        <is>
          <t>Phase</t>
        </is>
      </c>
      <c r="D4" s="7" t="inlineStr">
        <is>
          <t>Work package</t>
        </is>
      </c>
      <c r="E4" s="7" t="inlineStr">
        <is>
          <t>O</t>
        </is>
      </c>
      <c r="F4" s="7" t="inlineStr">
        <is>
          <t>M</t>
        </is>
      </c>
      <c r="G4" s="7" t="inlineStr">
        <is>
          <t>P</t>
        </is>
      </c>
      <c r="H4" s="7" t="inlineStr">
        <is>
          <t>Expected</t>
        </is>
      </c>
      <c r="I4" s="7" t="inlineStr">
        <is>
          <t>P80</t>
        </is>
      </c>
      <c r="J4" s="7" t="inlineStr">
        <is>
          <t>Weeks</t>
        </is>
      </c>
    </row>
    <row r="5">
      <c r="A5" s="31" t="inlineStr">
        <is>
          <t>Stage 1</t>
        </is>
      </c>
      <c r="B5" s="30" t="inlineStr">
        <is>
          <t>0.1</t>
        </is>
      </c>
      <c r="C5" s="31" t="inlineStr">
        <is>
          <t>0 · Mandate and decisions</t>
        </is>
      </c>
      <c r="D5" s="31" t="inlineStr">
        <is>
          <t>Correct the brief; re-issue the objective in writing</t>
        </is>
      </c>
      <c r="E5" s="33" t="n">
        <v>2</v>
      </c>
      <c r="F5" s="33" t="n">
        <v>3</v>
      </c>
      <c r="G5" s="33" t="n">
        <v>6</v>
      </c>
      <c r="H5" s="32" t="n">
        <v>3.333333333333333</v>
      </c>
      <c r="I5" s="32" t="n">
        <v>4.561582641991065</v>
      </c>
      <c r="J5" s="33" t="inlineStr">
        <is>
          <t>W1–W3</t>
        </is>
      </c>
    </row>
    <row r="6">
      <c r="A6" s="31" t="inlineStr">
        <is>
          <t>Stage 1</t>
        </is>
      </c>
      <c r="B6" s="30" t="inlineStr">
        <is>
          <t>0.2</t>
        </is>
      </c>
      <c r="C6" s="31" t="inlineStr">
        <is>
          <t>0 · Mandate and decisions</t>
        </is>
      </c>
      <c r="D6" s="31" t="inlineStr">
        <is>
          <t>Gov.In CMS intake via the MoHFW CIO route</t>
        </is>
      </c>
      <c r="E6" s="33" t="n">
        <v>3</v>
      </c>
      <c r="F6" s="33" t="n">
        <v>5</v>
      </c>
      <c r="G6" s="33" t="n">
        <v>11</v>
      </c>
      <c r="H6" s="32" t="n">
        <v>5.666666666666667</v>
      </c>
      <c r="I6" s="32" t="n">
        <v>7.754690491384811</v>
      </c>
      <c r="J6" s="33" t="inlineStr">
        <is>
          <t>W2–W12</t>
        </is>
      </c>
    </row>
    <row r="7">
      <c r="A7" s="31" t="inlineStr">
        <is>
          <t>Stage 1</t>
        </is>
      </c>
      <c r="B7" s="30" t="inlineStr">
        <is>
          <t>0.4</t>
        </is>
      </c>
      <c r="C7" s="31" t="inlineStr">
        <is>
          <t>0 · Mandate and decisions</t>
        </is>
      </c>
      <c r="D7" s="31" t="inlineStr">
        <is>
          <t>registry.gov.in control and DNS readiness</t>
        </is>
      </c>
      <c r="E7" s="33" t="n">
        <v>1</v>
      </c>
      <c r="F7" s="33" t="n">
        <v>2</v>
      </c>
      <c r="G7" s="33" t="n">
        <v>4</v>
      </c>
      <c r="H7" s="32" t="n">
        <v>2.166666666666667</v>
      </c>
      <c r="I7" s="32" t="n">
        <v>2.965028717294192</v>
      </c>
      <c r="J7" s="33" t="inlineStr">
        <is>
          <t>W4–W7</t>
        </is>
      </c>
    </row>
    <row r="8">
      <c r="A8" s="31" t="inlineStr">
        <is>
          <t>Stage 1</t>
        </is>
      </c>
      <c r="B8" s="30" t="inlineStr">
        <is>
          <t>0.5</t>
        </is>
      </c>
      <c r="C8" s="31" t="inlineStr">
        <is>
          <t>0 · Mandate and decisions</t>
        </is>
      </c>
      <c r="D8" s="31" t="inlineStr">
        <is>
          <t>Security-audit route settled in writing</t>
        </is>
      </c>
      <c r="E8" s="33" t="n">
        <v>1</v>
      </c>
      <c r="F8" s="33" t="n">
        <v>2</v>
      </c>
      <c r="G8" s="33" t="n">
        <v>4</v>
      </c>
      <c r="H8" s="32" t="n">
        <v>2.166666666666667</v>
      </c>
      <c r="I8" s="32" t="n">
        <v>2.965028717294192</v>
      </c>
      <c r="J8" s="33" t="inlineStr">
        <is>
          <t>W5–W9</t>
        </is>
      </c>
    </row>
    <row r="9">
      <c r="A9" s="31" t="inlineStr">
        <is>
          <t>Stage 1</t>
        </is>
      </c>
      <c r="B9" s="30" t="inlineStr">
        <is>
          <t>0.6</t>
        </is>
      </c>
      <c r="C9" s="31" t="inlineStr">
        <is>
          <t>0 · Mandate and decisions</t>
        </is>
      </c>
      <c r="D9" s="31" t="inlineStr">
        <is>
          <t>Redirect-capability determination (pivotal)</t>
        </is>
      </c>
      <c r="E9" s="33" t="n">
        <v>2</v>
      </c>
      <c r="F9" s="33" t="n">
        <v>3</v>
      </c>
      <c r="G9" s="33" t="n">
        <v>7</v>
      </c>
      <c r="H9" s="32" t="n">
        <v>3.5</v>
      </c>
      <c r="I9" s="32" t="n">
        <v>4.789661774090618</v>
      </c>
      <c r="J9" s="33" t="inlineStr">
        <is>
          <t>W3–W7</t>
        </is>
      </c>
    </row>
    <row r="10">
      <c r="A10" s="31" t="inlineStr">
        <is>
          <t>Stage 1</t>
        </is>
      </c>
      <c r="B10" s="30" t="inlineStr">
        <is>
          <t>0.8</t>
        </is>
      </c>
      <c r="C10" s="31" t="inlineStr">
        <is>
          <t>0 · Mandate and decisions</t>
        </is>
      </c>
      <c r="D10" s="31" t="inlineStr">
        <is>
          <t>DBIM logo lockup 3A/3B determination</t>
        </is>
      </c>
      <c r="E10" s="33" t="n">
        <v>0.5</v>
      </c>
      <c r="F10" s="33" t="n">
        <v>1</v>
      </c>
      <c r="G10" s="33" t="n">
        <v>2</v>
      </c>
      <c r="H10" s="32" t="n">
        <v>1.083333333333333</v>
      </c>
      <c r="I10" s="32" t="n">
        <v>1.482514358647096</v>
      </c>
      <c r="J10" s="33" t="inlineStr">
        <is>
          <t>W6–W10</t>
        </is>
      </c>
    </row>
    <row r="11">
      <c r="A11" s="31" t="inlineStr">
        <is>
          <t>Stage 1</t>
        </is>
      </c>
      <c r="B11" s="30" t="inlineStr">
        <is>
          <t>0.9</t>
        </is>
      </c>
      <c r="C11" s="31" t="inlineStr">
        <is>
          <t>0 · Mandate and decisions</t>
        </is>
      </c>
      <c r="D11" s="31" t="inlineStr">
        <is>
          <t>Destination status-code behaviour proven; origin status layer designed</t>
        </is>
      </c>
      <c r="E11" s="33" t="n">
        <v>2</v>
      </c>
      <c r="F11" s="33" t="n">
        <v>4</v>
      </c>
      <c r="G11" s="33" t="n">
        <v>9</v>
      </c>
      <c r="H11" s="32" t="n">
        <v>4.5</v>
      </c>
      <c r="I11" s="32" t="n">
        <v>6.158136566687938</v>
      </c>
      <c r="J11" s="33" t="inlineStr">
        <is>
          <t>W4–W9</t>
        </is>
      </c>
    </row>
    <row r="12">
      <c r="A12" s="31" t="inlineStr">
        <is>
          <t>Stage 1</t>
        </is>
      </c>
      <c r="B12" s="30" t="inlineStr">
        <is>
          <t>1.1</t>
        </is>
      </c>
      <c r="C12" s="31" t="inlineStr">
        <is>
          <t>1 · Emergency remediation</t>
        </is>
      </c>
      <c r="D12" s="31" t="inlineStr">
        <is>
          <t>Real HTTP 404: error-document status, not a 302 to a 200 page</t>
        </is>
      </c>
      <c r="E12" s="33" t="n">
        <v>1.5</v>
      </c>
      <c r="F12" s="33" t="n">
        <v>3</v>
      </c>
      <c r="G12" s="33" t="n">
        <v>7</v>
      </c>
      <c r="H12" s="32" t="n">
        <v>3.416666666666667</v>
      </c>
      <c r="I12" s="32" t="n">
        <v>4.675622208040841</v>
      </c>
      <c r="J12" s="33" t="inlineStr">
        <is>
          <t>W3–W6</t>
        </is>
      </c>
    </row>
    <row r="13">
      <c r="A13" s="31" t="inlineStr">
        <is>
          <t>Stage 1</t>
        </is>
      </c>
      <c r="B13" s="30" t="inlineStr">
        <is>
          <t>1.2</t>
        </is>
      </c>
      <c r="C13" s="31" t="inlineStr">
        <is>
          <t>1 · Emergency remediation</t>
        </is>
      </c>
      <c r="D13" s="31" t="inlineStr">
        <is>
          <t>Charset: header says iso-8859-1 over 389 Hindi pages; header wins</t>
        </is>
      </c>
      <c r="E13" s="33" t="n">
        <v>2</v>
      </c>
      <c r="F13" s="33" t="n">
        <v>4</v>
      </c>
      <c r="G13" s="33" t="n">
        <v>9</v>
      </c>
      <c r="H13" s="32" t="n">
        <v>4.5</v>
      </c>
      <c r="I13" s="32" t="n">
        <v>6.158136566687938</v>
      </c>
      <c r="J13" s="33" t="inlineStr">
        <is>
          <t>W3–W7</t>
        </is>
      </c>
    </row>
    <row r="14">
      <c r="A14" s="31" t="inlineStr">
        <is>
          <t>Stage 1</t>
        </is>
      </c>
      <c r="B14" s="30" t="inlineStr">
        <is>
          <t>1.4</t>
        </is>
      </c>
      <c r="C14" s="31" t="inlineStr">
        <is>
          <t>1 · Emergency remediation</t>
        </is>
      </c>
      <c r="D14" s="31" t="inlineStr">
        <is>
          <t>GIGW policy pages and portal links (DBIM mandates no india.gov.in link)</t>
        </is>
      </c>
      <c r="E14" s="33" t="n">
        <v>1</v>
      </c>
      <c r="F14" s="33" t="n">
        <v>2</v>
      </c>
      <c r="G14" s="33" t="n">
        <v>4</v>
      </c>
      <c r="H14" s="32" t="n">
        <v>2.166666666666667</v>
      </c>
      <c r="I14" s="32" t="n">
        <v>2.965028717294192</v>
      </c>
      <c r="J14" s="33" t="inlineStr">
        <is>
          <t>W5–W8</t>
        </is>
      </c>
    </row>
    <row r="15">
      <c r="A15" s="31" t="inlineStr">
        <is>
          <t>Stage 1</t>
        </is>
      </c>
      <c r="B15" s="30" t="inlineStr">
        <is>
          <t>1.6</t>
        </is>
      </c>
      <c r="C15" s="31" t="inlineStr">
        <is>
          <t>1 · Emergency remediation</t>
        </is>
      </c>
      <c r="D15" s="31" t="inlineStr">
        <is>
          <t>robots.txt and a stopgap sitemap</t>
        </is>
      </c>
      <c r="E15" s="33" t="n">
        <v>0.5</v>
      </c>
      <c r="F15" s="33" t="n">
        <v>1</v>
      </c>
      <c r="G15" s="33" t="n">
        <v>2</v>
      </c>
      <c r="H15" s="32" t="n">
        <v>1.083333333333333</v>
      </c>
      <c r="I15" s="32" t="n">
        <v>1.482514358647096</v>
      </c>
      <c r="J15" s="33" t="inlineStr">
        <is>
          <t>W6–W7</t>
        </is>
      </c>
    </row>
    <row r="16">
      <c r="A16" s="31" t="inlineStr">
        <is>
          <t>Stage 1</t>
        </is>
      </c>
      <c r="B16" s="30" t="inlineStr">
        <is>
          <t>1.7</t>
        </is>
      </c>
      <c r="C16" s="31" t="inlineStr">
        <is>
          <t>1 · Emergency remediation</t>
        </is>
      </c>
      <c r="D16" s="31" t="inlineStr">
        <is>
          <t>CSP hardening on the live site</t>
        </is>
      </c>
      <c r="E16" s="33" t="n">
        <v>2</v>
      </c>
      <c r="F16" s="33" t="n">
        <v>4</v>
      </c>
      <c r="G16" s="33" t="n">
        <v>10</v>
      </c>
      <c r="H16" s="32" t="n">
        <v>4.666666666666667</v>
      </c>
      <c r="I16" s="32" t="n">
        <v>6.386215698787492</v>
      </c>
      <c r="J16" s="33" t="inlineStr">
        <is>
          <t>W4–W8</t>
        </is>
      </c>
    </row>
    <row r="17">
      <c r="A17" s="31" t="inlineStr">
        <is>
          <t>Stage 1</t>
        </is>
      </c>
      <c r="B17" s="30" t="inlineStr">
        <is>
          <t>1.8</t>
        </is>
      </c>
      <c r="C17" s="31" t="inlineStr">
        <is>
          <t>1 · Emergency remediation</t>
        </is>
      </c>
      <c r="D17" s="31" t="inlineStr">
        <is>
          <t>lang="hi" across 389 Hindi pages; close the joomla.xml version disclosure</t>
        </is>
      </c>
      <c r="E17" s="33" t="n">
        <v>1</v>
      </c>
      <c r="F17" s="33" t="n">
        <v>2</v>
      </c>
      <c r="G17" s="33" t="n">
        <v>5</v>
      </c>
      <c r="H17" s="32" t="n">
        <v>2.333333333333333</v>
      </c>
      <c r="I17" s="32" t="n">
        <v>3.193107849393746</v>
      </c>
      <c r="J17" s="33" t="inlineStr">
        <is>
          <t>W5–W8</t>
        </is>
      </c>
    </row>
    <row r="18">
      <c r="A18" s="31" t="inlineStr">
        <is>
          <t>Stage 1</t>
        </is>
      </c>
      <c r="B18" s="30" t="inlineStr">
        <is>
          <t>2.1</t>
        </is>
      </c>
      <c r="C18" s="31" t="inlineStr">
        <is>
          <t>2 · Inventory and redirect map</t>
        </is>
      </c>
      <c r="D18" s="31" t="inlineStr">
        <is>
          <t>Joomla database extraction and reconciliation</t>
        </is>
      </c>
      <c r="E18" s="33" t="n">
        <v>2</v>
      </c>
      <c r="F18" s="33" t="n">
        <v>4</v>
      </c>
      <c r="G18" s="33" t="n">
        <v>10</v>
      </c>
      <c r="H18" s="32" t="n">
        <v>4.666666666666667</v>
      </c>
      <c r="I18" s="32" t="n">
        <v>6.386215698787492</v>
      </c>
      <c r="J18" s="33" t="inlineStr">
        <is>
          <t>W3–W7</t>
        </is>
      </c>
    </row>
    <row r="19">
      <c r="A19" s="31" t="inlineStr">
        <is>
          <t>Stage 1</t>
        </is>
      </c>
      <c r="B19" s="30" t="inlineStr">
        <is>
          <t>2.2</t>
        </is>
      </c>
      <c r="C19" s="31" t="inlineStr">
        <is>
          <t>2 · Inventory and redirect map</t>
        </is>
      </c>
      <c r="D19" s="31" t="inlineStr">
        <is>
          <t>Live crawl with the two-signal validator</t>
        </is>
      </c>
      <c r="E19" s="33" t="n">
        <v>3</v>
      </c>
      <c r="F19" s="33" t="n">
        <v>5</v>
      </c>
      <c r="G19" s="33" t="n">
        <v>10</v>
      </c>
      <c r="H19" s="32" t="n">
        <v>5.5</v>
      </c>
      <c r="I19" s="32" t="n">
        <v>7.526611359285257</v>
      </c>
      <c r="J19" s="33" t="inlineStr">
        <is>
          <t>W3–W6</t>
        </is>
      </c>
    </row>
    <row r="20">
      <c r="A20" s="31" t="inlineStr">
        <is>
          <t>Stage 1</t>
        </is>
      </c>
      <c r="B20" s="30" t="inlineStr">
        <is>
          <t>2.3</t>
        </is>
      </c>
      <c r="C20" s="31" t="inlineStr">
        <is>
          <t>2 · Inventory and redirect map</t>
        </is>
      </c>
      <c r="D20" s="31" t="inlineStr">
        <is>
          <t>Wayback / CommonCrawl orphan recovery</t>
        </is>
      </c>
      <c r="E20" s="33" t="n">
        <v>2</v>
      </c>
      <c r="F20" s="33" t="n">
        <v>3</v>
      </c>
      <c r="G20" s="33" t="n">
        <v>7</v>
      </c>
      <c r="H20" s="32" t="n">
        <v>3.5</v>
      </c>
      <c r="I20" s="32" t="n">
        <v>4.789661774090618</v>
      </c>
      <c r="J20" s="33" t="inlineStr">
        <is>
          <t>W5–W8</t>
        </is>
      </c>
    </row>
    <row r="21">
      <c r="A21" s="31" t="inlineStr">
        <is>
          <t>Stage 1</t>
        </is>
      </c>
      <c r="B21" s="30" t="inlineStr">
        <is>
          <t>2.4</t>
        </is>
      </c>
      <c r="C21" s="31" t="inlineStr">
        <is>
          <t>2 · Inventory and redirect map</t>
        </is>
      </c>
      <c r="D21" s="31" t="inlineStr">
        <is>
          <t>Search Console traffic overlay</t>
        </is>
      </c>
      <c r="E21" s="33" t="n">
        <v>1</v>
      </c>
      <c r="F21" s="33" t="n">
        <v>2</v>
      </c>
      <c r="G21" s="33" t="n">
        <v>4</v>
      </c>
      <c r="H21" s="32" t="n">
        <v>2.166666666666667</v>
      </c>
      <c r="I21" s="32" t="n">
        <v>2.965028717294192</v>
      </c>
      <c r="J21" s="33" t="inlineStr">
        <is>
          <t>W6–W9</t>
        </is>
      </c>
    </row>
    <row r="22">
      <c r="A22" s="31" t="inlineStr">
        <is>
          <t>Stage 1</t>
        </is>
      </c>
      <c r="B22" s="30" t="inlineStr">
        <is>
          <t>2.5</t>
        </is>
      </c>
      <c r="C22" s="31" t="inlineStr">
        <is>
          <t>2 · Inventory and redirect map</t>
        </is>
      </c>
      <c r="D22" s="31" t="inlineStr">
        <is>
          <t>Union of four sources into one authoritative register</t>
        </is>
      </c>
      <c r="E22" s="33" t="n">
        <v>2</v>
      </c>
      <c r="F22" s="33" t="n">
        <v>3</v>
      </c>
      <c r="G22" s="33" t="n">
        <v>7</v>
      </c>
      <c r="H22" s="32" t="n">
        <v>3.5</v>
      </c>
      <c r="I22" s="32" t="n">
        <v>4.789661774090618</v>
      </c>
      <c r="J22" s="33" t="inlineStr">
        <is>
          <t>W8–W11</t>
        </is>
      </c>
    </row>
    <row r="23">
      <c r="A23" s="31" t="inlineStr">
        <is>
          <t>Stage 1</t>
        </is>
      </c>
      <c r="B23" s="30" t="inlineStr">
        <is>
          <t>2.6</t>
        </is>
      </c>
      <c r="C23" s="31" t="inlineStr">
        <is>
          <t>2 · Inventory and redirect map</t>
        </is>
      </c>
      <c r="D23" s="31" t="inlineStr">
        <is>
          <t>Triage facilitation — keep / archive / retire</t>
        </is>
      </c>
      <c r="E23" s="33" t="n">
        <v>6</v>
      </c>
      <c r="F23" s="33" t="n">
        <v>10</v>
      </c>
      <c r="G23" s="33" t="n">
        <v>20</v>
      </c>
      <c r="H23" s="32" t="n">
        <v>11</v>
      </c>
      <c r="I23" s="32" t="n">
        <v>15.05322271857051</v>
      </c>
      <c r="J23" s="33" t="inlineStr">
        <is>
          <t>W10–W19</t>
        </is>
      </c>
    </row>
    <row r="24">
      <c r="A24" s="31" t="inlineStr">
        <is>
          <t>Stage 1</t>
        </is>
      </c>
      <c r="B24" s="30" t="inlineStr">
        <is>
          <t>2.7</t>
        </is>
      </c>
      <c r="C24" s="31" t="inlineStr">
        <is>
          <t>2 · Inventory and redirect map</t>
        </is>
      </c>
      <c r="D24" s="31" t="inlineStr">
        <is>
          <t>PDF estate inventory and disposition (~2,758 documents)</t>
        </is>
      </c>
      <c r="E24" s="33" t="n">
        <v>5</v>
      </c>
      <c r="F24" s="33" t="n">
        <v>8</v>
      </c>
      <c r="G24" s="33" t="n">
        <v>18</v>
      </c>
      <c r="H24" s="32" t="n">
        <v>9.166666666666666</v>
      </c>
      <c r="I24" s="32" t="n">
        <v>12.54435226547543</v>
      </c>
      <c r="J24" s="33" t="inlineStr">
        <is>
          <t>W11–W18</t>
        </is>
      </c>
    </row>
    <row r="25">
      <c r="A25" s="31" t="inlineStr">
        <is>
          <t>Stage 1</t>
        </is>
      </c>
      <c r="B25" s="30" t="inlineStr">
        <is>
          <t>2.8</t>
        </is>
      </c>
      <c r="C25" s="31" t="inlineStr">
        <is>
          <t>2 · Inventory and redirect map</t>
        </is>
      </c>
      <c r="D25" s="31" t="inlineStr">
        <is>
          <t>Redirect map — ~1,727 distinct source paths; rows exceed paths</t>
        </is>
      </c>
      <c r="E25" s="33" t="n">
        <v>10</v>
      </c>
      <c r="F25" s="33" t="n">
        <v>16</v>
      </c>
      <c r="G25" s="33" t="n">
        <v>32</v>
      </c>
      <c r="H25" s="32" t="n">
        <v>17.66666666666667</v>
      </c>
      <c r="I25" s="32" t="n">
        <v>24.17638800255265</v>
      </c>
      <c r="J25" s="33" t="inlineStr">
        <is>
          <t>W13–W20</t>
        </is>
      </c>
    </row>
    <row r="26">
      <c r="A26" s="31" t="inlineStr">
        <is>
          <t>Stage 1</t>
        </is>
      </c>
      <c r="B26" s="30" t="inlineStr">
        <is>
          <t>2.9</t>
        </is>
      </c>
      <c r="C26" s="31" t="inlineStr">
        <is>
          <t>2 · Inventory and redirect map</t>
        </is>
      </c>
      <c r="D26" s="31" t="inlineStr">
        <is>
          <t>Hindi pairing by hreflang; bilingual gap quantified</t>
        </is>
      </c>
      <c r="E26" s="33" t="n">
        <v>2</v>
      </c>
      <c r="F26" s="33" t="n">
        <v>3</v>
      </c>
      <c r="G26" s="33" t="n">
        <v>7</v>
      </c>
      <c r="H26" s="32" t="n">
        <v>3.5</v>
      </c>
      <c r="I26" s="32" t="n">
        <v>4.789661774090618</v>
      </c>
      <c r="J26" s="33" t="inlineStr">
        <is>
          <t>W9–W13</t>
        </is>
      </c>
    </row>
    <row r="27">
      <c r="A27" s="31" t="inlineStr">
        <is>
          <t>Stage 1</t>
        </is>
      </c>
      <c r="B27" s="30" t="inlineStr">
        <is>
          <t>P.1a</t>
        </is>
      </c>
      <c r="C27" s="31" t="inlineStr">
        <is>
          <t>P · Programme management</t>
        </is>
      </c>
      <c r="D27" s="31" t="inlineStr">
        <is>
          <t>Programme and delivery management — Stage 1</t>
        </is>
      </c>
      <c r="E27" s="33" t="n">
        <v>8</v>
      </c>
      <c r="F27" s="33" t="n">
        <v>13</v>
      </c>
      <c r="G27" s="33" t="n">
        <v>24</v>
      </c>
      <c r="H27" s="32" t="n">
        <v>14</v>
      </c>
      <c r="I27" s="32" t="n">
        <v>19.15864709636247</v>
      </c>
      <c r="J27" s="33" t="inlineStr">
        <is>
          <t>W1–W24</t>
        </is>
      </c>
    </row>
    <row r="28">
      <c r="A28" s="31" t="inlineStr">
        <is>
          <t>Stage 1</t>
        </is>
      </c>
      <c r="B28" s="30" t="inlineStr">
        <is>
          <t>P.2a</t>
        </is>
      </c>
      <c r="C28" s="31" t="inlineStr">
        <is>
          <t>P · Programme management</t>
        </is>
      </c>
      <c r="D28" s="31" t="inlineStr">
        <is>
          <t>Business analysis and content governance — Stage 1</t>
        </is>
      </c>
      <c r="E28" s="33" t="n">
        <v>5</v>
      </c>
      <c r="F28" s="33" t="n">
        <v>8</v>
      </c>
      <c r="G28" s="33" t="n">
        <v>15</v>
      </c>
      <c r="H28" s="32" t="n">
        <v>8.666666666666666</v>
      </c>
      <c r="I28" s="32" t="n">
        <v>11.86011486917677</v>
      </c>
      <c r="J28" s="33" t="inlineStr">
        <is>
          <t>W2–W22</t>
        </is>
      </c>
    </row>
    <row r="29">
      <c r="A29" s="31" t="inlineStr">
        <is>
          <t>Stage 1</t>
        </is>
      </c>
      <c r="B29" s="30" t="inlineStr">
        <is>
          <t>P.3a</t>
        </is>
      </c>
      <c r="C29" s="31" t="inlineStr">
        <is>
          <t>P · Programme management</t>
        </is>
      </c>
      <c r="D29" s="31" t="inlineStr">
        <is>
          <t>Documentation, SOPs and the Stage 2 cost baseline</t>
        </is>
      </c>
      <c r="E29" s="33" t="n">
        <v>4</v>
      </c>
      <c r="F29" s="33" t="n">
        <v>6</v>
      </c>
      <c r="G29" s="33" t="n">
        <v>12</v>
      </c>
      <c r="H29" s="32" t="n">
        <v>6.666666666666667</v>
      </c>
      <c r="I29" s="32" t="n">
        <v>9.12316528398213</v>
      </c>
      <c r="J29" s="33" t="inlineStr">
        <is>
          <t>W18–W24</t>
        </is>
      </c>
    </row>
    <row r="30">
      <c r="A30" s="31" t="inlineStr">
        <is>
          <t>Stage 2</t>
        </is>
      </c>
      <c r="B30" s="30" t="inlineStr">
        <is>
          <t>3.1</t>
        </is>
      </c>
      <c r="C30" s="31" t="inlineStr">
        <is>
          <t>3 · Build and content load</t>
        </is>
      </c>
      <c r="D30" s="31" t="inlineStr">
        <is>
          <t>IA re-expression into the platform's flat structure</t>
        </is>
      </c>
      <c r="E30" s="33" t="n">
        <v>4</v>
      </c>
      <c r="F30" s="33" t="n">
        <v>7</v>
      </c>
      <c r="G30" s="33" t="n">
        <v>14</v>
      </c>
      <c r="H30" s="32" t="n">
        <v>7.666666666666667</v>
      </c>
      <c r="I30" s="32" t="n">
        <v>10.49977924944812</v>
      </c>
      <c r="J30" s="33" t="inlineStr">
        <is>
          <t>W37–W42</t>
        </is>
      </c>
    </row>
    <row r="31">
      <c r="A31" s="31" t="inlineStr">
        <is>
          <t>Stage 2</t>
        </is>
      </c>
      <c r="B31" s="30" t="inlineStr">
        <is>
          <t>3.10</t>
        </is>
      </c>
      <c r="C31" s="31" t="inlineStr">
        <is>
          <t>3 · Build and content load</t>
        </is>
      </c>
      <c r="D31" s="31" t="inlineStr">
        <is>
          <t>Search configuration and relevance</t>
        </is>
      </c>
      <c r="E31" s="33" t="n">
        <v>2</v>
      </c>
      <c r="F31" s="33" t="n">
        <v>3</v>
      </c>
      <c r="G31" s="33" t="n">
        <v>6</v>
      </c>
      <c r="H31" s="32" t="n">
        <v>3.333333333333333</v>
      </c>
      <c r="I31" s="32" t="n">
        <v>4.565121412803531</v>
      </c>
      <c r="J31" s="33" t="inlineStr">
        <is>
          <t>W50–W54</t>
        </is>
      </c>
    </row>
    <row r="32">
      <c r="A32" s="31" t="inlineStr">
        <is>
          <t>Stage 2</t>
        </is>
      </c>
      <c r="B32" s="30" t="inlineStr">
        <is>
          <t>3.11</t>
        </is>
      </c>
      <c r="C32" s="31" t="inlineStr">
        <is>
          <t>3 · Build and content load</t>
        </is>
      </c>
      <c r="D32" s="31" t="inlineStr">
        <is>
          <t>Applications disposition — scoping only</t>
        </is>
      </c>
      <c r="E32" s="33" t="n">
        <v>3</v>
      </c>
      <c r="F32" s="33" t="n">
        <v>5</v>
      </c>
      <c r="G32" s="33" t="n">
        <v>12</v>
      </c>
      <c r="H32" s="32" t="n">
        <v>5.833333333333333</v>
      </c>
      <c r="I32" s="32" t="n">
        <v>7.98896247240618</v>
      </c>
      <c r="J32" s="33" t="inlineStr">
        <is>
          <t>W40–W46</t>
        </is>
      </c>
    </row>
    <row r="33">
      <c r="A33" s="31" t="inlineStr">
        <is>
          <t>Stage 2</t>
        </is>
      </c>
      <c r="B33" s="30" t="inlineStr">
        <is>
          <t>3.12</t>
        </is>
      </c>
      <c r="C33" s="31" t="inlineStr">
        <is>
          <t>3 · Build and content load</t>
        </is>
      </c>
      <c r="D33" s="31" t="inlineStr">
        <is>
          <t>.सरकार.भारत IDN registration and configuration (registry fee nil)</t>
        </is>
      </c>
      <c r="E33" s="33" t="n">
        <v>1</v>
      </c>
      <c r="F33" s="33" t="n">
        <v>2</v>
      </c>
      <c r="G33" s="33" t="n">
        <v>4</v>
      </c>
      <c r="H33" s="32" t="n">
        <v>2.166666666666667</v>
      </c>
      <c r="I33" s="32" t="n">
        <v>2.967328918322295</v>
      </c>
      <c r="J33" s="33" t="inlineStr">
        <is>
          <t>W52–W55</t>
        </is>
      </c>
    </row>
    <row r="34">
      <c r="A34" s="31" t="inlineStr">
        <is>
          <t>Stage 2</t>
        </is>
      </c>
      <c r="B34" s="30" t="inlineStr">
        <is>
          <t>3.14</t>
        </is>
      </c>
      <c r="C34" s="31" t="inlineStr">
        <is>
          <t>3 · Build and content load</t>
        </is>
      </c>
      <c r="D34" s="31" t="inlineStr">
        <is>
          <t>Editorial training and standard operating procedures</t>
        </is>
      </c>
      <c r="E34" s="33" t="n">
        <v>3</v>
      </c>
      <c r="F34" s="33" t="n">
        <v>5</v>
      </c>
      <c r="G34" s="33" t="n">
        <v>10</v>
      </c>
      <c r="H34" s="32" t="n">
        <v>5.5</v>
      </c>
      <c r="I34" s="32" t="n">
        <v>7.532450331125827</v>
      </c>
      <c r="J34" s="33" t="inlineStr">
        <is>
          <t>W52–W58</t>
        </is>
      </c>
    </row>
    <row r="35">
      <c r="A35" s="31" t="inlineStr">
        <is>
          <t>Stage 2</t>
        </is>
      </c>
      <c r="B35" s="30" t="inlineStr">
        <is>
          <t>3.2</t>
        </is>
      </c>
      <c r="C35" s="31" t="inlineStr">
        <is>
          <t>3 · Build and content load</t>
        </is>
      </c>
      <c r="D35" s="31" t="inlineStr">
        <is>
          <t>Template mapping and the CCPS banner slot</t>
        </is>
      </c>
      <c r="E35" s="33" t="n">
        <v>3</v>
      </c>
      <c r="F35" s="33" t="n">
        <v>5</v>
      </c>
      <c r="G35" s="33" t="n">
        <v>11</v>
      </c>
      <c r="H35" s="32" t="n">
        <v>5.666666666666667</v>
      </c>
      <c r="I35" s="32" t="n">
        <v>7.760706401766004</v>
      </c>
      <c r="J35" s="33" t="inlineStr">
        <is>
          <t>W39–W44</t>
        </is>
      </c>
    </row>
    <row r="36">
      <c r="A36" s="31" t="inlineStr">
        <is>
          <t>Stage 2</t>
        </is>
      </c>
      <c r="B36" s="30" t="inlineStr">
        <is>
          <t>3.3</t>
        </is>
      </c>
      <c r="C36" s="31" t="inlineStr">
        <is>
          <t>3 · Build and content load</t>
        </is>
      </c>
      <c r="D36" s="31" t="inlineStr">
        <is>
          <t>Platform configuration, roles, editorial workflow</t>
        </is>
      </c>
      <c r="E36" s="33" t="n">
        <v>3</v>
      </c>
      <c r="F36" s="33" t="n">
        <v>5</v>
      </c>
      <c r="G36" s="33" t="n">
        <v>10</v>
      </c>
      <c r="H36" s="32" t="n">
        <v>5.5</v>
      </c>
      <c r="I36" s="32" t="n">
        <v>7.532450331125827</v>
      </c>
      <c r="J36" s="33" t="inlineStr">
        <is>
          <t>W38–W43</t>
        </is>
      </c>
    </row>
    <row r="37">
      <c r="A37" s="31" t="inlineStr">
        <is>
          <t>Stage 2</t>
        </is>
      </c>
      <c r="B37" s="30" t="inlineStr">
        <is>
          <t>3.4</t>
        </is>
      </c>
      <c r="C37" s="31" t="inlineStr">
        <is>
          <t>3 · Build and content load</t>
        </is>
      </c>
      <c r="D37" s="31" t="inlineStr">
        <is>
          <t>Content mapping, authoring supervision and QA — no bulk import exists</t>
        </is>
      </c>
      <c r="E37" s="33" t="n">
        <v>6</v>
      </c>
      <c r="F37" s="33" t="n">
        <v>10</v>
      </c>
      <c r="G37" s="33" t="n">
        <v>22</v>
      </c>
      <c r="H37" s="32" t="n">
        <v>11.33333333333333</v>
      </c>
      <c r="I37" s="32" t="n">
        <v>15.52141280353201</v>
      </c>
      <c r="J37" s="33" t="inlineStr">
        <is>
          <t>W42–W56</t>
        </is>
      </c>
    </row>
    <row r="38">
      <c r="A38" s="31" t="inlineStr">
        <is>
          <t>Stage 2</t>
        </is>
      </c>
      <c r="B38" s="30" t="inlineStr">
        <is>
          <t>3.5</t>
        </is>
      </c>
      <c r="C38" s="31" t="inlineStr">
        <is>
          <t>3 · Build and content load</t>
        </is>
      </c>
      <c r="D38" s="31" t="inlineStr">
        <is>
          <t>Content load — Hindi, byte-verified</t>
        </is>
      </c>
      <c r="E38" s="33" t="n">
        <v>2</v>
      </c>
      <c r="F38" s="33" t="n">
        <v>4</v>
      </c>
      <c r="G38" s="33" t="n">
        <v>9</v>
      </c>
      <c r="H38" s="32" t="n">
        <v>4.5</v>
      </c>
      <c r="I38" s="32" t="n">
        <v>6.162913907284768</v>
      </c>
      <c r="J38" s="33" t="inlineStr">
        <is>
          <t>W48–W54</t>
        </is>
      </c>
    </row>
    <row r="39">
      <c r="A39" s="31" t="inlineStr">
        <is>
          <t>Stage 2</t>
        </is>
      </c>
      <c r="B39" s="30" t="inlineStr">
        <is>
          <t>3.7</t>
        </is>
      </c>
      <c r="C39" s="31" t="inlineStr">
        <is>
          <t>3 · Build and content load</t>
        </is>
      </c>
      <c r="D39" s="31" t="inlineStr">
        <is>
          <t>Document register: categorisation scheme, priority tiers, bilingual flags</t>
        </is>
      </c>
      <c r="E39" s="33" t="n">
        <v>4</v>
      </c>
      <c r="F39" s="33" t="n">
        <v>6</v>
      </c>
      <c r="G39" s="33" t="n">
        <v>13</v>
      </c>
      <c r="H39" s="32" t="n">
        <v>6.833333333333333</v>
      </c>
      <c r="I39" s="32" t="n">
        <v>9.358498896247239</v>
      </c>
      <c r="J39" s="33" t="inlineStr">
        <is>
          <t>W43–W50</t>
        </is>
      </c>
    </row>
    <row r="40">
      <c r="A40" s="31" t="inlineStr">
        <is>
          <t>Stage 2</t>
        </is>
      </c>
      <c r="B40" s="30" t="inlineStr">
        <is>
          <t>3.9</t>
        </is>
      </c>
      <c r="C40" s="31" t="inlineStr">
        <is>
          <t>3 · Build and content load</t>
        </is>
      </c>
      <c r="D40" s="31" t="inlineStr">
        <is>
          <t>Accessibility conformance — 9 templates, one covering 83% of pages</t>
        </is>
      </c>
      <c r="E40" s="33" t="n">
        <v>5</v>
      </c>
      <c r="F40" s="33" t="n">
        <v>9</v>
      </c>
      <c r="G40" s="33" t="n">
        <v>20</v>
      </c>
      <c r="H40" s="32" t="n">
        <v>10.16666666666667</v>
      </c>
      <c r="I40" s="32" t="n">
        <v>13.92362030905077</v>
      </c>
      <c r="J40" s="33" t="inlineStr">
        <is>
          <t>W46–W58</t>
        </is>
      </c>
    </row>
    <row r="41">
      <c r="A41" s="31" t="inlineStr">
        <is>
          <t>Stage 2</t>
        </is>
      </c>
      <c r="B41" s="30" t="inlineStr">
        <is>
          <t>4.1</t>
        </is>
      </c>
      <c r="C41" s="31" t="inlineStr">
        <is>
          <t>4 · Audit and clearance</t>
        </is>
      </c>
      <c r="D41" s="31" t="inlineStr">
        <is>
          <t>Pre-audit hardening and pre-clearance of the obvious</t>
        </is>
      </c>
      <c r="E41" s="33" t="n">
        <v>3</v>
      </c>
      <c r="F41" s="33" t="n">
        <v>5</v>
      </c>
      <c r="G41" s="33" t="n">
        <v>11</v>
      </c>
      <c r="H41" s="32" t="n">
        <v>5.666666666666667</v>
      </c>
      <c r="I41" s="32" t="n">
        <v>7.760706401766004</v>
      </c>
      <c r="J41" s="33" t="inlineStr">
        <is>
          <t>W57–W61</t>
        </is>
      </c>
    </row>
    <row r="42">
      <c r="A42" s="31" t="inlineStr">
        <is>
          <t>Stage 2</t>
        </is>
      </c>
      <c r="B42" s="30" t="inlineStr">
        <is>
          <t>4.2</t>
        </is>
      </c>
      <c r="C42" s="31" t="inlineStr">
        <is>
          <t>4 · Audit and clearance</t>
        </is>
      </c>
      <c r="D42" s="31" t="inlineStr">
        <is>
          <t>Auditor procurement and pre-audit paperwork</t>
        </is>
      </c>
      <c r="E42" s="33" t="n">
        <v>2</v>
      </c>
      <c r="F42" s="33" t="n">
        <v>3</v>
      </c>
      <c r="G42" s="33" t="n">
        <v>7</v>
      </c>
      <c r="H42" s="32" t="n">
        <v>3.5</v>
      </c>
      <c r="I42" s="32" t="n">
        <v>4.793377483443708</v>
      </c>
      <c r="J42" s="33" t="inlineStr">
        <is>
          <t>W54–W62</t>
        </is>
      </c>
    </row>
    <row r="43">
      <c r="A43" s="31" t="inlineStr">
        <is>
          <t>Stage 2</t>
        </is>
      </c>
      <c r="B43" s="30" t="inlineStr">
        <is>
          <t>4.3</t>
        </is>
      </c>
      <c r="C43" s="31" t="inlineStr">
        <is>
          <t>4 · Audit and clearance</t>
        </is>
      </c>
      <c r="D43" s="31" t="inlineStr">
        <is>
          <t>VAPT cycle 1 and remediation</t>
        </is>
      </c>
      <c r="E43" s="33" t="n">
        <v>4</v>
      </c>
      <c r="F43" s="33" t="n">
        <v>7</v>
      </c>
      <c r="G43" s="33" t="n">
        <v>16</v>
      </c>
      <c r="H43" s="32" t="n">
        <v>8</v>
      </c>
      <c r="I43" s="32" t="n">
        <v>10.95629139072848</v>
      </c>
      <c r="J43" s="33" t="inlineStr">
        <is>
          <t>W62–W67</t>
        </is>
      </c>
    </row>
    <row r="44">
      <c r="A44" s="31" t="inlineStr">
        <is>
          <t>Stage 2</t>
        </is>
      </c>
      <c r="B44" s="30" t="inlineStr">
        <is>
          <t>4.4</t>
        </is>
      </c>
      <c r="C44" s="31" t="inlineStr">
        <is>
          <t>4 · Audit and clearance</t>
        </is>
      </c>
      <c r="D44" s="31" t="inlineStr">
        <is>
          <t>Retest and closure</t>
        </is>
      </c>
      <c r="E44" s="33" t="n">
        <v>2</v>
      </c>
      <c r="F44" s="33" t="n">
        <v>3</v>
      </c>
      <c r="G44" s="33" t="n">
        <v>8</v>
      </c>
      <c r="H44" s="32" t="n">
        <v>3.666666666666667</v>
      </c>
      <c r="I44" s="32" t="n">
        <v>5.021633554083884</v>
      </c>
      <c r="J44" s="33" t="inlineStr">
        <is>
          <t>W67–W69</t>
        </is>
      </c>
    </row>
    <row r="45">
      <c r="A45" s="31" t="inlineStr">
        <is>
          <t>Stage 2</t>
        </is>
      </c>
      <c r="B45" s="30" t="inlineStr">
        <is>
          <t>4.5</t>
        </is>
      </c>
      <c r="C45" s="31" t="inlineStr">
        <is>
          <t>4 · Audit and clearance</t>
        </is>
      </c>
      <c r="D45" s="31" t="inlineStr">
        <is>
          <t>Audit clearance documentation</t>
        </is>
      </c>
      <c r="E45" s="33" t="n">
        <v>2</v>
      </c>
      <c r="F45" s="33" t="n">
        <v>3</v>
      </c>
      <c r="G45" s="33" t="n">
        <v>6</v>
      </c>
      <c r="H45" s="32" t="n">
        <v>3.333333333333333</v>
      </c>
      <c r="I45" s="32" t="n">
        <v>4.565121412803531</v>
      </c>
      <c r="J45" s="33" t="inlineStr">
        <is>
          <t>W68–W70</t>
        </is>
      </c>
    </row>
    <row r="46">
      <c r="A46" s="31" t="inlineStr">
        <is>
          <t>Stage 2</t>
        </is>
      </c>
      <c r="B46" s="30" t="inlineStr">
        <is>
          <t>5.1</t>
        </is>
      </c>
      <c r="C46" s="31" t="inlineStr">
        <is>
          <t>5 · Cut-over and hypercare</t>
        </is>
      </c>
      <c r="D46" s="31" t="inlineStr">
        <is>
          <t>Cut-over runbook: one A-record, MX untouchable</t>
        </is>
      </c>
      <c r="E46" s="33" t="n">
        <v>2</v>
      </c>
      <c r="F46" s="33" t="n">
        <v>4</v>
      </c>
      <c r="G46" s="33" t="n">
        <v>9</v>
      </c>
      <c r="H46" s="32" t="n">
        <v>4.5</v>
      </c>
      <c r="I46" s="32" t="n">
        <v>6.162913907284768</v>
      </c>
      <c r="J46" s="33" t="inlineStr">
        <is>
          <t>W66–W71</t>
        </is>
      </c>
    </row>
    <row r="47">
      <c r="A47" s="31" t="inlineStr">
        <is>
          <t>Stage 2</t>
        </is>
      </c>
      <c r="B47" s="30" t="inlineStr">
        <is>
          <t>5.2</t>
        </is>
      </c>
      <c r="C47" s="31" t="inlineStr">
        <is>
          <t>5 · Cut-over and hypercare</t>
        </is>
      </c>
      <c r="D47" s="31" t="inlineStr">
        <is>
          <t>Redirect layer live; every row asserted automatically</t>
        </is>
      </c>
      <c r="E47" s="33" t="n">
        <v>3</v>
      </c>
      <c r="F47" s="33" t="n">
        <v>5</v>
      </c>
      <c r="G47" s="33" t="n">
        <v>11</v>
      </c>
      <c r="H47" s="32" t="n">
        <v>5.666666666666667</v>
      </c>
      <c r="I47" s="32" t="n">
        <v>7.760706401766004</v>
      </c>
      <c r="J47" s="33" t="inlineStr">
        <is>
          <t>W69–W72</t>
        </is>
      </c>
    </row>
    <row r="48">
      <c r="A48" s="31" t="inlineStr">
        <is>
          <t>Stage 2</t>
        </is>
      </c>
      <c r="B48" s="30" t="inlineStr">
        <is>
          <t>5.3</t>
        </is>
      </c>
      <c r="C48" s="31" t="inlineStr">
        <is>
          <t>5 · Cut-over and hypercare</t>
        </is>
      </c>
      <c r="D48" s="31" t="inlineStr">
        <is>
          <t>Sitemap, robots and Search Console submission</t>
        </is>
      </c>
      <c r="E48" s="33" t="n">
        <v>1</v>
      </c>
      <c r="F48" s="33" t="n">
        <v>2</v>
      </c>
      <c r="G48" s="33" t="n">
        <v>4</v>
      </c>
      <c r="H48" s="32" t="n">
        <v>2.166666666666667</v>
      </c>
      <c r="I48" s="32" t="n">
        <v>2.967328918322295</v>
      </c>
      <c r="J48" s="33" t="inlineStr">
        <is>
          <t>W71–W73</t>
        </is>
      </c>
    </row>
    <row r="49">
      <c r="A49" s="31" t="inlineStr">
        <is>
          <t>Stage 2</t>
        </is>
      </c>
      <c r="B49" s="30" t="inlineStr">
        <is>
          <t>5.4</t>
        </is>
      </c>
      <c r="C49" s="31" t="inlineStr">
        <is>
          <t>5 · Cut-over and hypercare</t>
        </is>
      </c>
      <c r="D49" s="31" t="inlineStr">
        <is>
          <t>IGOD refresh and India Portal depository records</t>
        </is>
      </c>
      <c r="E49" s="33" t="n">
        <v>2</v>
      </c>
      <c r="F49" s="33" t="n">
        <v>3</v>
      </c>
      <c r="G49" s="33" t="n">
        <v>7</v>
      </c>
      <c r="H49" s="32" t="n">
        <v>3.5</v>
      </c>
      <c r="I49" s="32" t="n">
        <v>4.793377483443708</v>
      </c>
      <c r="J49" s="33" t="inlineStr">
        <is>
          <t>W70–W74</t>
        </is>
      </c>
    </row>
    <row r="50">
      <c r="A50" s="31" t="inlineStr">
        <is>
          <t>Stage 2</t>
        </is>
      </c>
      <c r="B50" s="30" t="inlineStr">
        <is>
          <t>5.5</t>
        </is>
      </c>
      <c r="C50" s="31" t="inlineStr">
        <is>
          <t>5 · Cut-over and hypercare</t>
        </is>
      </c>
      <c r="D50" s="31" t="inlineStr">
        <is>
          <t>Hypercare and 404-log review</t>
        </is>
      </c>
      <c r="E50" s="33" t="n">
        <v>5</v>
      </c>
      <c r="F50" s="33" t="n">
        <v>8</v>
      </c>
      <c r="G50" s="33" t="n">
        <v>16</v>
      </c>
      <c r="H50" s="32" t="n">
        <v>8.833333333333334</v>
      </c>
      <c r="I50" s="32" t="n">
        <v>12.09757174392936</v>
      </c>
      <c r="J50" s="33" t="inlineStr">
        <is>
          <t>W72–W76</t>
        </is>
      </c>
    </row>
    <row r="51">
      <c r="A51" s="31" t="inlineStr">
        <is>
          <t>Stage 2</t>
        </is>
      </c>
      <c r="B51" s="30" t="inlineStr">
        <is>
          <t>P.1b</t>
        </is>
      </c>
      <c r="C51" s="31" t="inlineStr">
        <is>
          <t>P · Programme management</t>
        </is>
      </c>
      <c r="D51" s="31" t="inlineStr">
        <is>
          <t>Programme and delivery management — Stage 2</t>
        </is>
      </c>
      <c r="E51" s="33" t="n">
        <v>10</v>
      </c>
      <c r="F51" s="33" t="n">
        <v>16</v>
      </c>
      <c r="G51" s="33" t="n">
        <v>30</v>
      </c>
      <c r="H51" s="32" t="n">
        <v>17.33333333333333</v>
      </c>
      <c r="I51" s="32" t="n">
        <v>23.73863134657836</v>
      </c>
      <c r="J51" s="33" t="inlineStr">
        <is>
          <t>W37–W76</t>
        </is>
      </c>
    </row>
    <row r="52">
      <c r="A52" s="31" t="inlineStr">
        <is>
          <t>Stage 2</t>
        </is>
      </c>
      <c r="B52" s="30" t="inlineStr">
        <is>
          <t>P.2b</t>
        </is>
      </c>
      <c r="C52" s="31" t="inlineStr">
        <is>
          <t>P · Programme management</t>
        </is>
      </c>
      <c r="D52" s="31" t="inlineStr">
        <is>
          <t>Business analysis and content governance — Stage 2</t>
        </is>
      </c>
      <c r="E52" s="33" t="n">
        <v>6</v>
      </c>
      <c r="F52" s="33" t="n">
        <v>10</v>
      </c>
      <c r="G52" s="33" t="n">
        <v>19</v>
      </c>
      <c r="H52" s="32" t="n">
        <v>10.83333333333333</v>
      </c>
      <c r="I52" s="32" t="n">
        <v>14.83664459161148</v>
      </c>
      <c r="J52" s="33" t="inlineStr">
        <is>
          <t>W37–W74</t>
        </is>
      </c>
    </row>
    <row r="53">
      <c r="A53" s="31" t="inlineStr">
        <is>
          <t>Stage 2</t>
        </is>
      </c>
      <c r="B53" s="30" t="inlineStr">
        <is>
          <t>P.3b</t>
        </is>
      </c>
      <c r="C53" s="31" t="inlineStr">
        <is>
          <t>P · Programme management</t>
        </is>
      </c>
      <c r="D53" s="31" t="inlineStr">
        <is>
          <t>Documentation, SOPs and handover — Stage 2</t>
        </is>
      </c>
      <c r="E53" s="33" t="n">
        <v>3</v>
      </c>
      <c r="F53" s="33" t="n">
        <v>5</v>
      </c>
      <c r="G53" s="33" t="n">
        <v>10</v>
      </c>
      <c r="H53" s="32" t="n">
        <v>5.5</v>
      </c>
      <c r="I53" s="32" t="n">
        <v>7.532450331125827</v>
      </c>
      <c r="J53" s="33" t="inlineStr">
        <is>
          <t>W68–W76</t>
        </is>
      </c>
    </row>
    <row r="54">
      <c r="A54" s="31" t="inlineStr">
        <is>
          <t>Options</t>
        </is>
      </c>
      <c r="B54" s="30" t="inlineStr">
        <is>
          <t>3.13</t>
        </is>
      </c>
      <c r="C54" s="31" t="inlineStr">
        <is>
          <t>X · Priced options, excluded from both stages</t>
        </is>
      </c>
      <c r="D54" s="31" t="inlineStr">
        <is>
          <t>DBIM Annexure G KPI feed — Option 4 (bespoke) branch only</t>
        </is>
      </c>
      <c r="E54" s="33" t="n">
        <v>2</v>
      </c>
      <c r="F54" s="33" t="n">
        <v>3</v>
      </c>
      <c r="G54" s="33" t="n">
        <v>7</v>
      </c>
      <c r="H54" s="32" t="n">
        <v>3.5</v>
      </c>
      <c r="I54" s="32" t="n">
        <v>4.077899343544858</v>
      </c>
      <c r="J54" s="33" t="inlineStr">
        <is>
          <t>on trigger</t>
        </is>
      </c>
    </row>
    <row r="55">
      <c r="A55" s="31" t="inlineStr">
        <is>
          <t>Options</t>
        </is>
      </c>
      <c r="B55" s="30" t="inlineStr">
        <is>
          <t>X.1</t>
        </is>
      </c>
      <c r="C55" s="31" t="inlineStr">
        <is>
          <t>X · Priced options, excluded from both stages</t>
        </is>
      </c>
      <c r="D55" s="31" t="inlineStr">
        <is>
          <t>Hindi coverage completion — Option 4 branch only; Option 3 uses runtime Bhashini</t>
        </is>
      </c>
      <c r="E55" s="33" t="n">
        <v>40</v>
      </c>
      <c r="F55" s="33" t="n">
        <v>75</v>
      </c>
      <c r="G55" s="33" t="n">
        <v>160</v>
      </c>
      <c r="H55" s="32" t="n">
        <v>83.33333333333333</v>
      </c>
      <c r="I55" s="32" t="n">
        <v>97.0928415129728</v>
      </c>
      <c r="J55" s="33" t="inlineStr">
        <is>
          <t>on trigger</t>
        </is>
      </c>
    </row>
    <row r="56">
      <c r="A56" s="31" t="inlineStr">
        <is>
          <t>Options</t>
        </is>
      </c>
      <c r="B56" s="30" t="inlineStr">
        <is>
          <t>X.2</t>
        </is>
      </c>
      <c r="C56" s="31" t="inlineStr">
        <is>
          <t>X · Priced options, excluded from both stages</t>
        </is>
      </c>
      <c r="D56" s="31" t="inlineStr">
        <is>
          <t>Alt text and metadata enrichment across the asset estate</t>
        </is>
      </c>
      <c r="E56" s="33" t="n">
        <v>12</v>
      </c>
      <c r="F56" s="33" t="n">
        <v>22</v>
      </c>
      <c r="G56" s="33" t="n">
        <v>48</v>
      </c>
      <c r="H56" s="32" t="n">
        <v>24.66666666666667</v>
      </c>
      <c r="I56" s="32" t="n">
        <v>28.73948108783995</v>
      </c>
      <c r="J56" s="33" t="inlineStr">
        <is>
          <t>on trigger</t>
        </is>
      </c>
    </row>
    <row r="57">
      <c r="A57" s="31" t="inlineStr">
        <is>
          <t>Options</t>
        </is>
      </c>
      <c r="B57" s="30" t="inlineStr">
        <is>
          <t>X.3</t>
        </is>
      </c>
      <c r="C57" s="31" t="inlineStr">
        <is>
          <t>X · Priced options, excluded from both stages</t>
        </is>
      </c>
      <c r="D57" s="31" t="inlineStr">
        <is>
          <t>PDF accessibility remediation, priority tier</t>
        </is>
      </c>
      <c r="E57" s="33" t="n">
        <v>20</v>
      </c>
      <c r="F57" s="33" t="n">
        <v>38</v>
      </c>
      <c r="G57" s="33" t="n">
        <v>85</v>
      </c>
      <c r="H57" s="32" t="n">
        <v>42.83333333333334</v>
      </c>
      <c r="I57" s="32" t="n">
        <v>49.90572053766802</v>
      </c>
      <c r="J57" s="33" t="inlineStr">
        <is>
          <t>on trigger</t>
        </is>
      </c>
    </row>
    <row r="58">
      <c r="A58" s="31" t="inlineStr">
        <is>
          <t>Options</t>
        </is>
      </c>
      <c r="B58" s="30" t="inlineStr">
        <is>
          <t>X.4</t>
        </is>
      </c>
      <c r="C58" s="31" t="inlineStr">
        <is>
          <t>X · Priced options, excluded from both stages</t>
        </is>
      </c>
      <c r="D58" s="31" t="inlineStr">
        <is>
          <t>STQC Certified Quality Website: manual, application, assessment</t>
        </is>
      </c>
      <c r="E58" s="33" t="n">
        <v>12</v>
      </c>
      <c r="F58" s="33" t="n">
        <v>20</v>
      </c>
      <c r="G58" s="33" t="n">
        <v>42</v>
      </c>
      <c r="H58" s="32" t="n">
        <v>22.33333333333333</v>
      </c>
      <c r="I58" s="32" t="n">
        <v>26.02088152547671</v>
      </c>
      <c r="J58" s="33" t="inlineStr">
        <is>
          <t>on trigger</t>
        </is>
      </c>
    </row>
    <row r="59">
      <c r="A59" s="31" t="inlineStr">
        <is>
          <t>Options</t>
        </is>
      </c>
      <c r="B59" s="30" t="inlineStr">
        <is>
          <t>X.5</t>
        </is>
      </c>
      <c r="C59" s="31" t="inlineStr">
        <is>
          <t>X · Priced options, excluded from both stages</t>
        </is>
      </c>
      <c r="D59" s="31" t="inlineStr">
        <is>
          <t>Applications replatform — e-services, shop, PvPI, iponline</t>
        </is>
      </c>
      <c r="E59" s="33" t="n">
        <v>60</v>
      </c>
      <c r="F59" s="33" t="n">
        <v>120</v>
      </c>
      <c r="G59" s="33" t="n">
        <v>280</v>
      </c>
      <c r="H59" s="32" t="n">
        <v>136.6666666666667</v>
      </c>
      <c r="I59" s="32" t="n">
        <v>159.2322600812754</v>
      </c>
      <c r="J59" s="33" t="inlineStr">
        <is>
          <t>on trigger</t>
        </is>
      </c>
    </row>
    <row r="60">
      <c r="A60" s="31" t="inlineStr">
        <is>
          <t>Options</t>
        </is>
      </c>
      <c r="B60" s="30" t="inlineStr">
        <is>
          <t>X.6</t>
        </is>
      </c>
      <c r="C60" s="31" t="inlineStr">
        <is>
          <t>X · Priced options, excluded from both stages</t>
        </is>
      </c>
      <c r="D60" s="31" t="inlineStr">
        <is>
          <t>IAAP Certified Auditor Review Report — mandatory gate before STQC evaluation</t>
        </is>
      </c>
      <c r="E60" s="33" t="n">
        <v>5</v>
      </c>
      <c r="F60" s="33" t="n">
        <v>9</v>
      </c>
      <c r="G60" s="33" t="n">
        <v>18</v>
      </c>
      <c r="H60" s="32" t="n">
        <v>9.833333333333334</v>
      </c>
      <c r="I60" s="32" t="n">
        <v>11.45695529853079</v>
      </c>
      <c r="J60" s="33" t="inlineStr">
        <is>
          <t>on trigger</t>
        </is>
      </c>
    </row>
    <row r="61">
      <c r="A61" s="31" t="inlineStr">
        <is>
          <t>Options</t>
        </is>
      </c>
      <c r="B61" s="30" t="inlineStr">
        <is>
          <t>X.7</t>
        </is>
      </c>
      <c r="C61" s="31" t="inlineStr">
        <is>
          <t>X · Priced options, excluded from both stages</t>
        </is>
      </c>
      <c r="D61" s="31" t="inlineStr">
        <is>
          <t>Supplier-side manual authoring of surviving content items (if IPC cannot staff it)</t>
        </is>
      </c>
      <c r="E61" s="33" t="n">
        <v>60</v>
      </c>
      <c r="F61" s="33" t="n">
        <v>95</v>
      </c>
      <c r="G61" s="33" t="n">
        <v>190</v>
      </c>
      <c r="H61" s="32" t="n">
        <v>105</v>
      </c>
      <c r="I61" s="32" t="n">
        <v>122.3369803063457</v>
      </c>
      <c r="J61" s="33" t="inlineStr">
        <is>
          <t>on trigger</t>
        </is>
      </c>
    </row>
    <row r="62">
      <c r="A62" s="31" t="inlineStr">
        <is>
          <t>Options</t>
        </is>
      </c>
      <c r="B62" s="30" t="inlineStr">
        <is>
          <t>X.8</t>
        </is>
      </c>
      <c r="C62" s="31" t="inlineStr">
        <is>
          <t>X · Priced options, excluded from both stages</t>
        </is>
      </c>
      <c r="D62" s="31" t="inlineStr">
        <is>
          <t>Document repository loading — ~2,758 PDFs, one hand-made post each, 6 mandatory fields</t>
        </is>
      </c>
      <c r="E62" s="33" t="n">
        <v>60</v>
      </c>
      <c r="F62" s="33" t="n">
        <v>95</v>
      </c>
      <c r="G62" s="33" t="n">
        <v>190</v>
      </c>
      <c r="H62" s="32" t="n">
        <v>105</v>
      </c>
      <c r="I62" s="32" t="n">
        <v>122.3369803063457</v>
      </c>
      <c r="J62" s="33" t="inlineStr">
        <is>
          <t>on trigger</t>
        </is>
      </c>
    </row>
    <row r="63">
      <c r="A63" s="68" t="inlineStr">
        <is>
          <t>Not bought</t>
        </is>
      </c>
      <c r="B63" s="69" t="inlineStr">
        <is>
          <t>0.3</t>
        </is>
      </c>
      <c r="C63" s="68" t="inlineStr">
        <is>
          <t>0 · Mandate and decisions</t>
        </is>
      </c>
      <c r="D63" s="68" t="inlineStr">
        <is>
          <t>Governance: WIM, CIO/Tech SPOC, RACI  (Appointing a Web Information Manager and a Tech SPOC is an i…)</t>
        </is>
      </c>
      <c r="E63" s="70" t="n">
        <v>1</v>
      </c>
      <c r="F63" s="70" t="n">
        <v>2</v>
      </c>
      <c r="G63" s="70" t="n">
        <v>4</v>
      </c>
      <c r="H63" s="71" t="n">
        <v>2.166666666666667</v>
      </c>
      <c r="I63" s="71" t="inlineStr"/>
      <c r="J63" s="70" t="inlineStr">
        <is>
          <t>IPC / NIC</t>
        </is>
      </c>
    </row>
    <row r="64">
      <c r="A64" s="68" t="inlineStr">
        <is>
          <t>Not bought</t>
        </is>
      </c>
      <c r="B64" s="69" t="inlineStr">
        <is>
          <t>0.7</t>
        </is>
      </c>
      <c r="C64" s="68" t="inlineStr">
        <is>
          <t>0 · Mandate and decisions</t>
        </is>
      </c>
      <c r="D64" s="68" t="inlineStr">
        <is>
          <t>S3WaaS eligibility ruled in or out on the record  (Asking NIC whether S3WaaS is available to IPC is a letter fr…)</t>
        </is>
      </c>
      <c r="E64" s="70" t="n">
        <v>0.5</v>
      </c>
      <c r="F64" s="70" t="n">
        <v>1</v>
      </c>
      <c r="G64" s="70" t="n">
        <v>2</v>
      </c>
      <c r="H64" s="71" t="n">
        <v>1.083333333333333</v>
      </c>
      <c r="I64" s="71" t="inlineStr"/>
      <c r="J64" s="70" t="inlineStr">
        <is>
          <t>IPC / NIC</t>
        </is>
      </c>
    </row>
    <row r="65">
      <c r="A65" s="68" t="inlineStr">
        <is>
          <t>Not bought</t>
        </is>
      </c>
      <c r="B65" s="69" t="inlineStr">
        <is>
          <t>1.3</t>
        </is>
      </c>
      <c r="C65" s="68" t="inlineStr">
        <is>
          <t>1 · Emergency remediation</t>
        </is>
      </c>
      <c r="D65" s="68" t="inlineStr">
        <is>
          <t>Stale branding removal and content review sweep  (Removing a stale G20 banner and reviewing content currency i…)</t>
        </is>
      </c>
      <c r="E65" s="70" t="n">
        <v>1</v>
      </c>
      <c r="F65" s="70" t="n">
        <v>2</v>
      </c>
      <c r="G65" s="70" t="n">
        <v>5</v>
      </c>
      <c r="H65" s="71" t="n">
        <v>2.333333333333333</v>
      </c>
      <c r="I65" s="71" t="inlineStr"/>
      <c r="J65" s="70" t="inlineStr">
        <is>
          <t>IPC / NIC</t>
        </is>
      </c>
    </row>
    <row r="66">
      <c r="A66" s="68" t="inlineStr">
        <is>
          <t>Not bought</t>
        </is>
      </c>
      <c r="B66" s="69" t="inlineStr">
        <is>
          <t>1.5</t>
        </is>
      </c>
      <c r="C66" s="68" t="inlineStr">
        <is>
          <t>1 · Emergency remediation</t>
        </is>
      </c>
      <c r="D66" s="68" t="inlineStr">
        <is>
          <t>Joomla 3.8.10 (Jun 2018) on PHP 7.4.33 — both EOL: patch path or upgrade  (NIC hosts the server and owns the runtime; an EOL Joomla/PHP…)</t>
        </is>
      </c>
      <c r="E66" s="70" t="n">
        <v>4</v>
      </c>
      <c r="F66" s="70" t="n">
        <v>8</v>
      </c>
      <c r="G66" s="70" t="n">
        <v>20</v>
      </c>
      <c r="H66" s="71" t="n">
        <v>9.333333333333334</v>
      </c>
      <c r="I66" s="71" t="inlineStr"/>
      <c r="J66" s="70" t="inlineStr">
        <is>
          <t>IPC / NIC</t>
        </is>
      </c>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6"/>
  <sheetViews>
    <sheetView showGridLines="0" workbookViewId="0">
      <pane ySplit="4" topLeftCell="A5" activePane="bottomLeft" state="frozen"/>
      <selection pane="bottomLeft" activeCell="A1" sqref="A1"/>
    </sheetView>
  </sheetViews>
  <sheetFormatPr baseColWidth="8" defaultRowHeight="15"/>
  <cols>
    <col width="7" customWidth="1" min="1" max="1"/>
    <col width="54" customWidth="1" min="2" max="2"/>
    <col width="10" customWidth="1" min="3" max="3"/>
    <col width="16" customWidth="1" min="4" max="4"/>
    <col width="62" customWidth="1" min="5" max="5"/>
    <col width="2" customWidth="1" min="6" max="6"/>
  </cols>
  <sheetData>
    <row r="1" ht="22" customHeight="1">
      <c r="A1" s="1" t="inlineStr">
        <is>
          <t>Options and exclusions</t>
        </is>
      </c>
    </row>
    <row r="2" ht="28" customHeight="1">
      <c r="A2" s="2" t="inlineStr">
        <is>
          <t>None of this is in the Stage 1 or Stage 2 figures. Each option is a separate sponsor decision; each exclusion is a cost that genuinely cannot be priced yet.</t>
        </is>
      </c>
    </row>
    <row r="4" ht="30" customHeight="1">
      <c r="A4" s="7" t="inlineStr">
        <is>
          <t>Ref</t>
        </is>
      </c>
      <c r="B4" s="7" t="inlineStr">
        <is>
          <t>Option</t>
        </is>
      </c>
      <c r="C4" s="7" t="inlineStr">
        <is>
          <t>PD (P80)</t>
        </is>
      </c>
      <c r="D4" s="7" t="inlineStr">
        <is>
          <t>Ex-GST (INR)</t>
        </is>
      </c>
      <c r="E4" s="7" t="inlineStr">
        <is>
          <t>What triggers it</t>
        </is>
      </c>
      <c r="F4" s="7" t="inlineStr"/>
    </row>
    <row r="5" ht="30" customHeight="1">
      <c r="A5" s="30" t="inlineStr">
        <is>
          <t>3.13</t>
        </is>
      </c>
      <c r="B5" s="72" t="inlineStr">
        <is>
          <t>DBIM Annexure G KPI feed — Option 4 (bespoke) branch only</t>
        </is>
      </c>
      <c r="C5" s="32" t="n">
        <v>4.077899343544858</v>
      </c>
      <c r="D5" s="63" t="n">
        <v>37405.67843399062</v>
      </c>
      <c r="E5" s="72" t="inlineStr">
        <is>
          <t>Only if Option 4 is taken. Annexure G binds bodies NOT onboarded to the Gov.In CMS Platform.</t>
        </is>
      </c>
    </row>
    <row r="6" ht="30" customHeight="1">
      <c r="A6" s="30" t="inlineStr">
        <is>
          <t>X.1</t>
        </is>
      </c>
      <c r="B6" s="72" t="inlineStr">
        <is>
          <t>Hindi coverage completion — Option 4 branch only; Option 3 uses runtime Bhashini</t>
        </is>
      </c>
      <c r="C6" s="32" t="n">
        <v>97.0928415129728</v>
      </c>
      <c r="D6" s="63" t="n">
        <v>890611.3912854907</v>
      </c>
      <c r="E6" s="72" t="inlineStr">
        <is>
          <t>Only if Option 4 (bespoke rebuild) is taken. Under Option 3 the platform serves Hindi as runtime Bhashini machine translation.</t>
        </is>
      </c>
    </row>
    <row r="7" ht="30" customHeight="1">
      <c r="A7" s="30" t="inlineStr">
        <is>
          <t>X.2</t>
        </is>
      </c>
      <c r="B7" s="72" t="inlineStr">
        <is>
          <t>Alt text and metadata enrichment across the asset estate</t>
        </is>
      </c>
      <c r="C7" s="32" t="n">
        <v>28.73948108783995</v>
      </c>
      <c r="D7" s="63" t="n">
        <v>263620.9718205053</v>
      </c>
      <c r="E7" s="72" t="inlineStr">
        <is>
          <t>If alt text and metadata are not made required fields at import. Retrofitting across thousands of assets is the expensive path.</t>
        </is>
      </c>
    </row>
    <row r="8" ht="30" customHeight="1">
      <c r="A8" s="30" t="inlineStr">
        <is>
          <t>X.3</t>
        </is>
      </c>
      <c r="B8" s="72" t="inlineStr">
        <is>
          <t>PDF accessibility remediation, priority tier</t>
        </is>
      </c>
      <c r="C8" s="32" t="n">
        <v>49.90572053766802</v>
      </c>
      <c r="D8" s="63" t="n">
        <v>457774.2551207422</v>
      </c>
      <c r="E8" s="72" t="inlineStr">
        <is>
          <t>If the PDF estate is remediated rather than tiered or declared. Rate deliberately unpriced — sample 30-50 documents first.</t>
        </is>
      </c>
    </row>
    <row r="9" ht="30" customHeight="1">
      <c r="A9" s="30" t="inlineStr">
        <is>
          <t>X.4</t>
        </is>
      </c>
      <c r="B9" s="72" t="inlineStr">
        <is>
          <t>STQC Certified Quality Website: manual, application, assessment</t>
        </is>
      </c>
      <c r="C9" s="32" t="n">
        <v>26.02088152547671</v>
      </c>
      <c r="D9" s="63" t="n">
        <v>238683.8528645115</v>
      </c>
      <c r="E9" s="72" t="inlineStr">
        <is>
          <t>If STQC Certified Quality Website certification is in scope rather than deferred. The IAAP review (X.6) gates it.</t>
        </is>
      </c>
    </row>
    <row r="10" ht="30" customHeight="1">
      <c r="A10" s="30" t="inlineStr">
        <is>
          <t>X.5</t>
        </is>
      </c>
      <c r="B10" s="72" t="inlineStr">
        <is>
          <t>Applications replatform — e-services, shop, PvPI, iponline</t>
        </is>
      </c>
      <c r="C10" s="32" t="n">
        <v>159.2322600812754</v>
      </c>
      <c r="D10" s="63" t="n">
        <v>1460602.681708205</v>
      </c>
      <c r="E10" s="72" t="inlineStr">
        <is>
          <t>If /shop, /e-services, PvPI, iponline or onlinestore come into scope. /shop is a live OpenCart storefront, re-verified 01-09-2026.</t>
        </is>
      </c>
    </row>
    <row r="11" ht="30" customHeight="1">
      <c r="A11" s="30" t="inlineStr">
        <is>
          <t>X.6</t>
        </is>
      </c>
      <c r="B11" s="72" t="inlineStr">
        <is>
          <t>IAAP Certified Auditor Review Report — mandatory gate before STQC evaluation</t>
        </is>
      </c>
      <c r="C11" s="32" t="n">
        <v>11.45695529853079</v>
      </c>
      <c r="D11" s="63" t="n">
        <v>105092.1441716879</v>
      </c>
      <c r="E11" s="72" t="inlineStr">
        <is>
          <t>Mandatory ahead of any STQC GIGW evaluation, per STQC OM dated 30.06.2025. Take it if X.4 is taken.</t>
        </is>
      </c>
    </row>
    <row r="12" ht="30" customHeight="1">
      <c r="A12" s="30" t="inlineStr">
        <is>
          <t>X.7</t>
        </is>
      </c>
      <c r="B12" s="72" t="inlineStr">
        <is>
          <t>Supplier-side manual authoring of surviving content items (if IPC cannot staff it)</t>
        </is>
      </c>
      <c r="C12" s="32" t="n">
        <v>122.3369803063457</v>
      </c>
      <c r="D12" s="63" t="n">
        <v>1122170.353019718</v>
      </c>
      <c r="E12" s="72" t="inlineStr">
        <is>
          <t>If IPC cannot staff content authoring. There is no bulk import, so every surviving item is hand-keyed.</t>
        </is>
      </c>
    </row>
    <row r="13" ht="30" customHeight="1">
      <c r="A13" s="30" t="inlineStr">
        <is>
          <t>X.8</t>
        </is>
      </c>
      <c r="B13" s="72" t="inlineStr">
        <is>
          <t>Document repository loading — ~2,758 PDFs, one hand-made post each, 6 mandatory fields</t>
        </is>
      </c>
      <c r="C13" s="32" t="n">
        <v>122.3369803063457</v>
      </c>
      <c r="D13" s="63" t="n">
        <v>1122170.353019718</v>
      </c>
      <c r="E13" s="72" t="inlineStr">
        <is>
          <t>If the document estate is loaded into the platform. One hand-made post per PDF, six mandatory fields.</t>
        </is>
      </c>
    </row>
    <row r="14">
      <c r="A14" s="18" t="inlineStr"/>
      <c r="B14" s="18" t="inlineStr">
        <is>
          <t>TOTAL if all were taken</t>
        </is>
      </c>
      <c r="C14" s="65" t="n">
        <v>621.2</v>
      </c>
      <c r="D14" s="21" t="n">
        <v>5698131.68144457</v>
      </c>
      <c r="E14" s="18" t="inlineStr"/>
    </row>
    <row r="17">
      <c r="A17" s="54" t="inlineStr">
        <is>
          <t>EXCLUDED AND UNPRICED — costs that are real but cannot be quoted yet</t>
        </is>
      </c>
    </row>
    <row r="19">
      <c r="A19" s="73" t="inlineStr">
        <is>
          <t>Item</t>
        </is>
      </c>
      <c r="B19" s="73" t="inlineStr">
        <is>
          <t>Position</t>
        </is>
      </c>
      <c r="C19" s="29" t="n"/>
      <c r="D19" s="29" t="n"/>
      <c r="E19" s="73" t="inlineStr">
        <is>
          <t>Why it cannot be priced</t>
        </is>
      </c>
    </row>
    <row r="20" ht="45" customHeight="1">
      <c r="A20" s="23" t="inlineStr">
        <is>
          <t>STQC Certified Quality Website fee</t>
        </is>
      </c>
      <c r="B20" s="74" t="inlineStr">
        <is>
          <t>No GIGW 3.0 tariff is published</t>
        </is>
      </c>
      <c r="E20" s="24" t="inlineStr">
        <is>
          <t>The circulating INR 40,000 is real but its own section 6.1 scopes it to GIGW version 2009 and 87 test points. Obtain a written quote from the assigned STQC IT Laboratory, payable via Bharatkosh.</t>
        </is>
      </c>
    </row>
    <row r="21" ht="45" customHeight="1">
      <c r="A21" s="23" t="inlineStr">
        <is>
          <t>CERT-In empanelled security audit</t>
        </is>
      </c>
      <c r="B21" s="74" t="inlineStr">
        <is>
          <t>Bimodal: zero or lakhs</t>
        </is>
      </c>
      <c r="E21" s="24" t="inlineStr">
        <is>
          <t>GIGW 3.0 accepts clearance from NIC, STQC or a CERT-In empanelled vendor. If NIC performs it the line is zero. If procured, no Indian government body publishes a VAPT rate card and it goes to quotation.</t>
        </is>
      </c>
    </row>
    <row r="22" ht="45" customHeight="1">
      <c r="A22" s="23" t="inlineStr">
        <is>
          <t>IAAP Certified Auditor Review Report</t>
        </is>
      </c>
      <c r="B22" s="74" t="inlineStr">
        <is>
          <t>Unpriced, and newly mandatory</t>
        </is>
      </c>
      <c r="E22" s="24" t="inlineStr">
        <is>
          <t>STQC OM F.No. STQC/IT&amp;eGov/WQC/2022 dated 30.06.2025 makes it a pre-requisite for GIGW evaluation. Commencement language is equivocal - confirm before relying on the date.</t>
        </is>
      </c>
    </row>
    <row r="23" ht="30" customHeight="1">
      <c r="A23" s="23" t="inlineStr">
        <is>
          <t>Third-party accessibility audit</t>
        </is>
      </c>
      <c r="B23" s="74" t="inlineStr">
        <is>
          <t>Vendor marketing ranges only</t>
        </is>
      </c>
      <c r="E23" s="24" t="inlineStr">
        <is>
          <t>No Indian government rate card exists. Priced per template and per sampled page, so the Phase 3 exit criterion drives it.</t>
        </is>
      </c>
    </row>
    <row r="24" ht="45" customHeight="1">
      <c r="A24" s="23" t="inlineStr">
        <is>
          <t>Bhashini production use</t>
        </is>
      </c>
      <c r="B24" s="74" t="inlineStr">
        <is>
          <t>Unpublished</t>
        </is>
      </c>
      <c r="E24" s="24" t="inlineStr">
        <is>
          <t>Official documentation states API usage shall be for proof-of-concept only. bhashini.ai is a separate commercial site and its prices are not the platform's.</t>
        </is>
      </c>
    </row>
    <row r="25" ht="30" customHeight="1">
      <c r="A25" s="23" t="inlineStr">
        <is>
          <t>Gov.In CMS Platform and NIC hosting</t>
        </is>
      </c>
      <c r="B25" s="74" t="inlineStr">
        <is>
          <t>Unpriced in both directions</t>
        </is>
      </c>
      <c r="E25" s="24" t="inlineStr">
        <is>
          <t>No published tariff, and no published statement that it is free. A genuine void, not a gap in searching.</t>
        </is>
      </c>
    </row>
    <row r="26" ht="45" customHeight="1">
      <c r="A26" s="23" t="inlineStr">
        <is>
          <t>Hindi translation</t>
        </is>
      </c>
      <c r="B26" s="74" t="inlineStr">
        <is>
          <t>Rate known, volume not</t>
        </is>
      </c>
      <c r="E26" s="24" t="inlineStr">
        <is>
          <t>Carry INR 1.00 / 2.50 / 6.00 per word. The National Translation Mission schedule of INR 0.50-1.00 is a scholar honorarium at roughly a quarter of market and will under-price a procured programme.</t>
        </is>
      </c>
    </row>
  </sheetData>
  <mergeCells count="9">
    <mergeCell ref="A2:F2"/>
    <mergeCell ref="B23:D23"/>
    <mergeCell ref="B22:D22"/>
    <mergeCell ref="A1:F1"/>
    <mergeCell ref="B26:D26"/>
    <mergeCell ref="B21:D21"/>
    <mergeCell ref="B25:D25"/>
    <mergeCell ref="B24:D24"/>
    <mergeCell ref="B20:D2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9"/>
  <sheetViews>
    <sheetView showGridLines="0" workbookViewId="0">
      <pane ySplit="13" topLeftCell="A14" activePane="bottomLeft" state="frozen"/>
      <selection pane="bottomLeft" activeCell="A1" sqref="A1"/>
    </sheetView>
  </sheetViews>
  <sheetFormatPr baseColWidth="8" defaultRowHeight="15"/>
  <cols>
    <col width="22" customWidth="1" min="1" max="1"/>
    <col width="10" customWidth="1" min="2" max="2"/>
    <col width="16" customWidth="1" min="3" max="3"/>
    <col width="12" customWidth="1" min="4" max="4"/>
    <col width="9" customWidth="1" min="5" max="5"/>
    <col width="9" customWidth="1" min="6" max="6"/>
    <col width="9" customWidth="1" min="7" max="7"/>
    <col width="9" customWidth="1" min="8" max="8"/>
  </cols>
  <sheetData>
    <row r="1" ht="22" customHeight="1">
      <c r="A1" s="1" t="inlineStr">
        <is>
          <t>Confidence</t>
        </is>
      </c>
    </row>
    <row r="2" ht="28" customHeight="1">
      <c r="A2" s="2" t="inlineStr">
        <is>
          <t>100,000 iterations, Beta-PERT marginals, single-factor Gaussian copula at rho 0.5, exogenous risks sampled inside each iteration rather than added to a percentile. Seed 20260901 — every figure here is reproducible.</t>
        </is>
      </c>
    </row>
    <row r="4" ht="30" customHeight="1">
      <c r="A4" s="7" t="inlineStr">
        <is>
          <t>View</t>
        </is>
      </c>
      <c r="B4" s="7" t="inlineStr">
        <is>
          <t>Packages</t>
        </is>
      </c>
      <c r="C4" s="7" t="inlineStr">
        <is>
          <t>PERT expected PD</t>
        </is>
      </c>
      <c r="D4" s="7" t="inlineStr">
        <is>
          <t>Risk EMV PD</t>
        </is>
      </c>
      <c r="E4" s="7" t="inlineStr">
        <is>
          <t>P50</t>
        </is>
      </c>
      <c r="F4" s="7" t="inlineStr">
        <is>
          <t>P70</t>
        </is>
      </c>
      <c r="G4" s="7" t="inlineStr">
        <is>
          <t>P80</t>
        </is>
      </c>
      <c r="H4" s="7" t="inlineStr">
        <is>
          <t>P90</t>
        </is>
      </c>
    </row>
    <row r="5">
      <c r="A5" s="8" t="inlineStr">
        <is>
          <t>Stage 1 (recommended)</t>
        </is>
      </c>
      <c r="B5" s="75" t="n">
        <v>25</v>
      </c>
      <c r="C5" s="76" t="n">
        <v>130.6</v>
      </c>
      <c r="D5" s="76" t="n">
        <v>26.8</v>
      </c>
      <c r="E5" s="76" t="n">
        <v>156</v>
      </c>
      <c r="F5" s="76" t="n">
        <v>170.1</v>
      </c>
      <c r="G5" s="76" t="n">
        <v>178.7</v>
      </c>
      <c r="H5" s="76" t="n">
        <v>191</v>
      </c>
    </row>
    <row r="6">
      <c r="A6" s="52" t="inlineStr">
        <is>
          <t>Stage 1 (full scope)</t>
        </is>
      </c>
      <c r="B6" s="10" t="n">
        <v>29</v>
      </c>
      <c r="C6" s="11" t="n">
        <v>145.5</v>
      </c>
      <c r="D6" s="11" t="n">
        <v>32.8</v>
      </c>
      <c r="E6" s="11" t="n">
        <v>176.7</v>
      </c>
      <c r="F6" s="11" t="n">
        <v>192.6</v>
      </c>
      <c r="G6" s="11" t="n">
        <v>202.5</v>
      </c>
      <c r="H6" s="11" t="n">
        <v>216.1</v>
      </c>
    </row>
    <row r="7">
      <c r="A7" s="52" t="inlineStr">
        <is>
          <t>Stage 2</t>
        </is>
      </c>
      <c r="B7" s="10" t="n">
        <v>24</v>
      </c>
      <c r="C7" s="11" t="n">
        <v>151</v>
      </c>
      <c r="D7" s="11" t="n">
        <v>29.6</v>
      </c>
      <c r="E7" s="11" t="n">
        <v>179</v>
      </c>
      <c r="F7" s="11" t="n">
        <v>196.1</v>
      </c>
      <c r="G7" s="11" t="n">
        <v>206.8</v>
      </c>
      <c r="H7" s="11" t="n">
        <v>221.5</v>
      </c>
    </row>
    <row r="8">
      <c r="A8" s="52" t="inlineStr">
        <is>
          <t>Stage 1 + 2, joint run</t>
        </is>
      </c>
      <c r="B8" s="10" t="n">
        <v>49</v>
      </c>
      <c r="C8" s="11" t="n">
        <v>281.6</v>
      </c>
      <c r="D8" s="11" t="n">
        <v>56.4</v>
      </c>
      <c r="E8" s="11" t="n">
        <v>334.8</v>
      </c>
      <c r="F8" s="11" t="n">
        <v>364</v>
      </c>
      <c r="G8" s="11" t="n">
        <v>382.5</v>
      </c>
      <c r="H8" s="11" t="n">
        <v>407.9</v>
      </c>
    </row>
    <row r="9">
      <c r="A9" s="52" t="inlineStr">
        <is>
          <t>Options</t>
        </is>
      </c>
      <c r="B9" s="10" t="n">
        <v>9</v>
      </c>
      <c r="C9" s="11" t="n">
        <v>533.2</v>
      </c>
      <c r="D9" s="11" t="n">
        <v>0</v>
      </c>
      <c r="E9" s="11" t="n">
        <v>525.3</v>
      </c>
      <c r="F9" s="11" t="n">
        <v>584.3</v>
      </c>
      <c r="G9" s="11" t="n">
        <v>621.2</v>
      </c>
      <c r="H9" s="11" t="n">
        <v>672.9</v>
      </c>
    </row>
    <row r="12">
      <c r="A12" s="54" t="inlineStr">
        <is>
          <t>CORRELATION SENSITIVITY — Stage 1 recommended scope. The assumption is visible, not buried</t>
        </is>
      </c>
    </row>
    <row r="13" ht="30" customHeight="1">
      <c r="A13" s="7" t="inlineStr">
        <is>
          <t>rho</t>
        </is>
      </c>
      <c r="B13" s="7" t="inlineStr">
        <is>
          <t>P50</t>
        </is>
      </c>
      <c r="C13" s="7" t="inlineStr">
        <is>
          <t>P80</t>
        </is>
      </c>
      <c r="D13" s="7" t="inlineStr">
        <is>
          <t>P90</t>
        </is>
      </c>
      <c r="E13" s="7" t="inlineStr">
        <is>
          <t>Reading</t>
        </is>
      </c>
      <c r="F13" s="7" t="inlineStr"/>
      <c r="G13" s="7" t="inlineStr"/>
      <c r="H13" s="7" t="inlineStr"/>
    </row>
    <row r="14">
      <c r="A14" s="52" t="inlineStr">
        <is>
          <t>rho=0.0</t>
        </is>
      </c>
      <c r="B14" s="11" t="n">
        <v>157.1</v>
      </c>
      <c r="C14" s="11" t="n">
        <v>168.5</v>
      </c>
      <c r="D14" s="11" t="n">
        <v>174.5</v>
      </c>
      <c r="E14" s="52" t="inlineStr">
        <is>
          <t>Independent packages. Unrealistic — one team, one client.</t>
        </is>
      </c>
      <c r="F14" s="77" t="n"/>
      <c r="G14" s="77" t="n"/>
      <c r="H14" s="77" t="n"/>
    </row>
    <row r="15">
      <c r="A15" s="52" t="inlineStr">
        <is>
          <t>rho=0.3</t>
        </is>
      </c>
      <c r="B15" s="11" t="n">
        <v>156.5</v>
      </c>
      <c r="C15" s="11" t="n">
        <v>175.2</v>
      </c>
      <c r="D15" s="11" t="n">
        <v>185.3</v>
      </c>
      <c r="E15" s="52" t="inlineStr">
        <is>
          <t>Weak common cause. A portfolio of unrelated projects.</t>
        </is>
      </c>
      <c r="F15" s="77" t="n"/>
      <c r="G15" s="77" t="n"/>
      <c r="H15" s="77" t="n"/>
    </row>
    <row r="16">
      <c r="A16" s="8" t="inlineStr">
        <is>
          <t>rho=0.5</t>
        </is>
      </c>
      <c r="B16" s="76" t="n">
        <v>156</v>
      </c>
      <c r="C16" s="76" t="n">
        <v>178.7</v>
      </c>
      <c r="D16" s="76" t="n">
        <v>191</v>
      </c>
      <c r="E16" s="8" t="inlineStr">
        <is>
          <t>RECOMMENDED. One accountable team, shared requirement risk.</t>
        </is>
      </c>
      <c r="F16" s="77" t="n"/>
      <c r="G16" s="77" t="n"/>
      <c r="H16" s="77" t="n"/>
    </row>
    <row r="17">
      <c r="A17" s="52" t="inlineStr">
        <is>
          <t>rho=0.7</t>
        </is>
      </c>
      <c r="B17" s="11" t="n">
        <v>155.4</v>
      </c>
      <c r="C17" s="11" t="n">
        <v>181.9</v>
      </c>
      <c r="D17" s="11" t="n">
        <v>196.1</v>
      </c>
      <c r="E17" s="52" t="inlineStr">
        <is>
          <t>Strong common cause. Use if requirements are unfrozen at award.</t>
        </is>
      </c>
      <c r="F17" s="77" t="n"/>
      <c r="G17" s="77" t="n"/>
      <c r="H17" s="77" t="n"/>
    </row>
    <row r="19" ht="30" customHeight="1">
      <c r="A19" s="2" t="inlineStr">
        <is>
          <t>Percentiles do not add. Stage 1 at P80 (179 PD) plus Stage 2 at P80 (207 PD) is 386 PD, but a single joint contract sampling both in the same iterations is 382 PD — the two stages diversify against each other. They are priced as two contracts here because that is how they would be procured.</t>
        </is>
      </c>
    </row>
    <row r="21">
      <c r="A21" s="54" t="inlineStr">
        <is>
          <t>WHERE THE UNCERTAINTY LIVES — share of Stage 1 variance</t>
        </is>
      </c>
    </row>
    <row r="22">
      <c r="A22" s="23" t="inlineStr">
        <is>
          <t>2.8</t>
        </is>
      </c>
      <c r="B22" s="78" t="n">
        <v>0.232</v>
      </c>
      <c r="C22" s="44" t="inlineStr">
        <is>
          <t>Redirect map — ~1,727 distinct source paths; rows exceed paths</t>
        </is>
      </c>
    </row>
    <row r="23">
      <c r="A23" s="23" t="inlineStr">
        <is>
          <t>P.1a</t>
        </is>
      </c>
      <c r="B23" s="78" t="n">
        <v>0.126</v>
      </c>
      <c r="C23" s="44" t="inlineStr">
        <is>
          <t>Programme and delivery management — Stage 1</t>
        </is>
      </c>
    </row>
    <row r="24">
      <c r="A24" s="23" t="inlineStr">
        <is>
          <t>1.5</t>
        </is>
      </c>
      <c r="B24" s="78" t="n">
        <v>0.12</v>
      </c>
      <c r="C24" s="44" t="inlineStr">
        <is>
          <t>Joomla 3.8.10 (Jun 2018) on PHP 7.4.33 — both EOL: patch path or upgrade</t>
        </is>
      </c>
    </row>
    <row r="25">
      <c r="A25" s="23" t="inlineStr">
        <is>
          <t>2.6</t>
        </is>
      </c>
      <c r="B25" s="78" t="n">
        <v>0.095</v>
      </c>
      <c r="C25" s="44" t="inlineStr">
        <is>
          <t>Triage facilitation — keep / archive / retire</t>
        </is>
      </c>
    </row>
    <row r="26">
      <c r="A26" s="23" t="inlineStr">
        <is>
          <t>2.7</t>
        </is>
      </c>
      <c r="B26" s="78" t="n">
        <v>0.078</v>
      </c>
      <c r="C26" s="44" t="inlineStr">
        <is>
          <t>PDF estate inventory and disposition (~2,758 documents)</t>
        </is>
      </c>
    </row>
    <row r="27">
      <c r="A27" s="23" t="inlineStr">
        <is>
          <t>P.2a</t>
        </is>
      </c>
      <c r="B27" s="78" t="n">
        <v>0.049</v>
      </c>
      <c r="C27" s="44" t="inlineStr">
        <is>
          <t>Business analysis and content governance — Stage 1</t>
        </is>
      </c>
    </row>
    <row r="29" ht="30" customHeight="1">
      <c r="A29" s="2" t="inlineStr">
        <is>
          <t>Nearly a quarter of the spread is one package — the redirect map. A day spent agreeing the redirect convention at kickoff is worth more than a week of estimating discipline anywhere else.</t>
        </is>
      </c>
    </row>
  </sheetData>
  <mergeCells count="14">
    <mergeCell ref="E14:H14"/>
    <mergeCell ref="C25:H25"/>
    <mergeCell ref="C26:H26"/>
    <mergeCell ref="C24:H24"/>
    <mergeCell ref="E17:H17"/>
    <mergeCell ref="A29:H29"/>
    <mergeCell ref="C27:H27"/>
    <mergeCell ref="C22:H22"/>
    <mergeCell ref="A2:H2"/>
    <mergeCell ref="C23:H23"/>
    <mergeCell ref="E16:H16"/>
    <mergeCell ref="E15:H15"/>
    <mergeCell ref="A19:H19"/>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1"/>
  <sheetViews>
    <sheetView showGridLines="0" workbookViewId="0">
      <pane ySplit="26" topLeftCell="A27" activePane="bottomLeft" state="frozen"/>
      <selection pane="bottomLeft" activeCell="A1" sqref="A1"/>
    </sheetView>
  </sheetViews>
  <sheetFormatPr baseColWidth="8" defaultRowHeight="15"/>
  <cols>
    <col width="7" customWidth="1" min="1" max="1"/>
    <col width="38" customWidth="1" min="2" max="2"/>
    <col width="10" customWidth="1" min="3" max="3"/>
    <col width="11" customWidth="1" min="4" max="4"/>
    <col width="11" customWidth="1" min="5" max="5"/>
    <col width="76" customWidth="1" min="6" max="6"/>
  </cols>
  <sheetData>
    <row r="1" ht="22" customHeight="1">
      <c r="A1" s="1" t="inlineStr">
        <is>
          <t>Rate card and commercial terms</t>
        </is>
      </c>
    </row>
    <row r="2" ht="28" customHeight="1">
      <c r="A2" s="2" t="inlineStr">
        <is>
          <t>Role rates are the mid-tier reference. The blended rate is an OUTPUT of the role mix in the packages, not an input — change the mix and it moves.</t>
        </is>
      </c>
    </row>
    <row r="4" ht="30" customHeight="1">
      <c r="A4" s="7" t="inlineStr">
        <is>
          <t>Ref</t>
        </is>
      </c>
      <c r="B4" s="7" t="inlineStr">
        <is>
          <t>Role</t>
        </is>
      </c>
      <c r="C4" s="7" t="inlineStr">
        <is>
          <t>INR/PD</t>
        </is>
      </c>
      <c r="D4" s="7" t="inlineStr">
        <is>
          <t>Stage 1 PD</t>
        </is>
      </c>
      <c r="E4" s="7" t="inlineStr">
        <is>
          <t>Stage 2 PD</t>
        </is>
      </c>
      <c r="F4" s="7" t="inlineStr">
        <is>
          <t>Note</t>
        </is>
      </c>
    </row>
    <row r="5">
      <c r="A5" s="30" t="inlineStr">
        <is>
          <t>ME</t>
        </is>
      </c>
      <c r="B5" s="31" t="inlineStr">
        <is>
          <t>Migration Engineer</t>
        </is>
      </c>
      <c r="C5" s="63" t="n">
        <v>12000</v>
      </c>
      <c r="D5" s="32" t="n">
        <v>65.88065730695595</v>
      </c>
      <c r="E5" s="32" t="n">
        <v>50.71849889624723</v>
      </c>
      <c r="F5" s="79" t="inlineStr">
        <is>
          <t>Crawler, two-signal validator, transforms, redirect map, cut-over.</t>
        </is>
      </c>
    </row>
    <row r="6">
      <c r="A6" s="30" t="inlineStr">
        <is>
          <t>BA</t>
        </is>
      </c>
      <c r="B6" s="31" t="inlineStr">
        <is>
          <t>Content Strategist / Business Analyst</t>
        </is>
      </c>
      <c r="C6" s="63" t="n">
        <v>13000</v>
      </c>
      <c r="D6" s="32" t="n">
        <v>55.11532227185705</v>
      </c>
      <c r="E6" s="32" t="n">
        <v>40.65240618101545</v>
      </c>
      <c r="F6" s="79" t="inlineStr">
        <is>
          <t>Owns the inventory, the triage facilitation and the disposition register.</t>
        </is>
      </c>
    </row>
    <row r="7">
      <c r="A7" s="30" t="inlineStr">
        <is>
          <t>EL</t>
        </is>
      </c>
      <c r="B7" s="31" t="inlineStr">
        <is>
          <t>Engagement Lead / Programme Manager</t>
        </is>
      </c>
      <c r="C7" s="63" t="n">
        <v>22000</v>
      </c>
      <c r="D7" s="32" t="n">
        <v>29.67309508615188</v>
      </c>
      <c r="E7" s="32" t="n">
        <v>27.36790286975717</v>
      </c>
      <c r="F7" s="79" t="inlineStr">
        <is>
          <t>Client-facing; owns the CIO route and the decision gates.</t>
        </is>
      </c>
    </row>
    <row r="8">
      <c r="A8" s="30" t="inlineStr">
        <is>
          <t>SA</t>
        </is>
      </c>
      <c r="B8" s="31" t="inlineStr">
        <is>
          <t>Solution Architect — Gov.In CMS / DBIM</t>
        </is>
      </c>
      <c r="C8" s="63" t="n">
        <v>24000</v>
      </c>
      <c r="D8" s="32" t="n">
        <v>12.39610082961072</v>
      </c>
      <c r="E8" s="32" t="n">
        <v>20.77130242825607</v>
      </c>
      <c r="F8" s="79" t="inlineStr">
        <is>
          <t>Scarce skill; the platform-specific knowledge is the whole reason to hire outside.</t>
        </is>
      </c>
    </row>
    <row r="9">
      <c r="A9" s="30" t="inlineStr">
        <is>
          <t>SE</t>
        </is>
      </c>
      <c r="B9" s="31" t="inlineStr">
        <is>
          <t>Security Engineer</t>
        </is>
      </c>
      <c r="C9" s="63" t="n">
        <v>20000</v>
      </c>
      <c r="D9" s="32" t="n">
        <v>7.093261008296107</v>
      </c>
      <c r="E9" s="32" t="n">
        <v>20.97673289183223</v>
      </c>
      <c r="F9" s="79" t="inlineStr">
        <is>
          <t>CSP, patching, pre-audit clearance, CERT-In liaison.</t>
        </is>
      </c>
    </row>
    <row r="10">
      <c r="A10" s="30" t="inlineStr">
        <is>
          <t>CO</t>
        </is>
      </c>
      <c r="B10" s="31" t="inlineStr">
        <is>
          <t>Content Operations / Editorial support</t>
        </is>
      </c>
      <c r="C10" s="63" t="n">
        <v>7500</v>
      </c>
      <c r="D10" s="32" t="n">
        <v>3.398379068283344</v>
      </c>
      <c r="E10" s="32" t="n">
        <v>17.16485651214128</v>
      </c>
      <c r="F10" s="79" t="inlineStr">
        <is>
          <t>Bulk load, alt text, metadata. The line most safely moved to IPC's own team.</t>
        </is>
      </c>
    </row>
    <row r="11">
      <c r="A11" s="30" t="inlineStr">
        <is>
          <t>QA</t>
        </is>
      </c>
      <c r="B11" s="31" t="inlineStr">
        <is>
          <t>QA Engineer</t>
        </is>
      </c>
      <c r="C11" s="63" t="n">
        <v>9500</v>
      </c>
      <c r="D11" s="32" t="n">
        <v>3.865941289087428</v>
      </c>
      <c r="E11" s="32" t="n">
        <v>15.52141280353201</v>
      </c>
      <c r="F11" s="79" t="inlineStr">
        <is>
          <t>Assertion suites; every redirect row is a test.</t>
        </is>
      </c>
    </row>
    <row r="12">
      <c r="A12" s="30" t="inlineStr">
        <is>
          <t>AX</t>
        </is>
      </c>
      <c r="B12" s="31" t="inlineStr">
        <is>
          <t>Accessibility Specialist</t>
        </is>
      </c>
      <c r="C12" s="63" t="n">
        <v>15000</v>
      </c>
      <c r="D12" s="32" t="n">
        <v>1.277243139757498</v>
      </c>
      <c r="E12" s="32" t="n">
        <v>13.62688741721854</v>
      </c>
      <c r="F12" s="79" t="inlineStr">
        <is>
          <t>WCAG 2.1 AA; 50 of GIGW 3.0's 88 guidelines.</t>
        </is>
      </c>
    </row>
    <row r="13">
      <c r="A13" s="18" t="inlineStr"/>
      <c r="B13" s="18" t="inlineStr">
        <is>
          <t>TOTAL</t>
        </is>
      </c>
      <c r="C13" s="18" t="inlineStr"/>
      <c r="D13" s="80" t="n">
        <v>178.7</v>
      </c>
      <c r="E13" s="80" t="n">
        <v>206.8</v>
      </c>
      <c r="F13" s="18" t="inlineStr"/>
    </row>
    <row r="16">
      <c r="A16" s="54" t="inlineStr">
        <is>
          <t>SUPPLIER TIER — the envelope test. Stage 1 ex-GST, INR lakh</t>
        </is>
      </c>
    </row>
    <row r="17" ht="30" customHeight="1">
      <c r="A17" s="7" t="inlineStr">
        <is>
          <t>Tier</t>
        </is>
      </c>
      <c r="B17" s="7" t="inlineStr">
        <is>
          <t>Multiplier</t>
        </is>
      </c>
      <c r="C17" s="7" t="inlineStr">
        <is>
          <t>Blended INR/PD</t>
        </is>
      </c>
      <c r="D17" s="7" t="inlineStr">
        <is>
          <t>P50</t>
        </is>
      </c>
      <c r="E17" s="7" t="inlineStr">
        <is>
          <t>P80</t>
        </is>
      </c>
      <c r="F17" s="7" t="inlineStr">
        <is>
          <t>P90</t>
        </is>
      </c>
    </row>
    <row r="18">
      <c r="A18" s="8" t="inlineStr">
        <is>
          <t>T1 · Boutique / specialist</t>
        </is>
      </c>
      <c r="B18" s="81" t="n">
        <v>0.72</v>
      </c>
      <c r="C18" s="82" t="n">
        <v>10800.48245054244</v>
      </c>
      <c r="D18" s="83" t="n">
        <v>20.99853249746612</v>
      </c>
      <c r="E18" s="83" t="n">
        <v>23.88289663425804</v>
      </c>
      <c r="F18" s="83" t="n">
        <v>25.44578997710124</v>
      </c>
    </row>
    <row r="19">
      <c r="A19" s="52" t="inlineStr">
        <is>
          <t>T2 · Mid-tier SI</t>
        </is>
      </c>
      <c r="B19" s="84" t="n">
        <v>1</v>
      </c>
      <c r="C19" s="85" t="n">
        <v>15000.67007019783</v>
      </c>
      <c r="D19" s="83" t="n">
        <v>28.70711212883367</v>
      </c>
      <c r="E19" s="84" t="n">
        <v>32.71317342993355</v>
      </c>
      <c r="F19" s="84" t="n">
        <v>34.88385862832689</v>
      </c>
    </row>
    <row r="20">
      <c r="A20" s="52" t="inlineStr">
        <is>
          <t>T3 · Tier-1 SI</t>
        </is>
      </c>
      <c r="B20" s="84" t="n">
        <v>1.4</v>
      </c>
      <c r="C20" s="85" t="n">
        <v>21000.93809827696</v>
      </c>
      <c r="D20" s="84" t="n">
        <v>39.71936874507301</v>
      </c>
      <c r="E20" s="84" t="n">
        <v>45.32785456661286</v>
      </c>
      <c r="F20" s="84" t="n">
        <v>48.36681384436353</v>
      </c>
    </row>
    <row r="22" ht="30" customHeight="1">
      <c r="A22" s="2" t="inlineStr">
        <is>
          <t>Green cells fall inside the stated INR 20–30 lakh envelope. T1 is the only tier that fits at the bid percentile — but IPC's own last IT tender demanded ISO 9001, ISO 27000 and CMMI Level 3, a bar that excludes it. Resolve the procurement category before bidding.</t>
        </is>
      </c>
    </row>
    <row r="25">
      <c r="A25" s="54" t="inlineStr">
        <is>
          <t>COMMERCIAL TERMS — IPC's own revealed rates, not convention</t>
        </is>
      </c>
    </row>
    <row r="26" ht="30" customHeight="1">
      <c r="A26" s="7" t="inlineStr">
        <is>
          <t>Item</t>
        </is>
      </c>
      <c r="B26" s="7" t="inlineStr">
        <is>
          <t>Rate</t>
        </is>
      </c>
      <c r="C26" s="7" t="inlineStr">
        <is>
          <t>On Stage 1 (INR)</t>
        </is>
      </c>
      <c r="D26" s="7" t="inlineStr">
        <is>
          <t>On both stages (INR)</t>
        </is>
      </c>
      <c r="E26" s="7" t="inlineStr"/>
      <c r="F26" s="7" t="inlineStr">
        <is>
          <t>Note</t>
        </is>
      </c>
    </row>
    <row r="27" ht="45" customHeight="1">
      <c r="A27" s="30" t="inlineStr">
        <is>
          <t>Earnest money deposit</t>
        </is>
      </c>
      <c r="B27" s="86" t="n">
        <v>0.04</v>
      </c>
      <c r="C27" s="63" t="n">
        <v>95531.58653703217</v>
      </c>
      <c r="D27" s="63" t="n">
        <v>206554.742594687</v>
      </c>
      <c r="E27" s="31" t="inlineStr"/>
      <c r="F27" s="79" t="inlineStr">
        <is>
          <t>IPC's own revealed rate on GEM/2026/B/7781379 (13-07-2026), against a GeM recommendation of 1%. Refundable, but it blocks working capital through evaluation.</t>
        </is>
      </c>
    </row>
    <row r="28" ht="45" customHeight="1">
      <c r="A28" s="30" t="inlineStr">
        <is>
          <t>Performance bank guarantee</t>
        </is>
      </c>
      <c r="B28" s="86" t="n">
        <v>0.05</v>
      </c>
      <c r="C28" s="63" t="n">
        <v>119414.4831712902</v>
      </c>
      <c r="D28" s="63" t="n">
        <v>258193.4282433588</v>
      </c>
      <c r="E28" s="31" t="inlineStr"/>
      <c r="F28" s="79" t="inlineStr">
        <is>
          <t>IPC's revealed rate, held 60 months on its last IT bid. For a 5.5-month assignment, negotiate the term down — a 60-month PBG on a 24-week engagement is a real and avoidable carrying cost.</t>
        </is>
      </c>
    </row>
    <row r="29" ht="15" customHeight="1">
      <c r="A29" s="30" t="inlineStr">
        <is>
          <t>PBG carrying cost per annum</t>
        </is>
      </c>
      <c r="B29" s="86" t="n">
        <v>0.015</v>
      </c>
      <c r="C29" s="63" t="n">
        <v>1791.217247569353</v>
      </c>
      <c r="D29" s="63" t="n">
        <v>3872.901423650382</v>
      </c>
      <c r="E29" s="31" t="inlineStr"/>
      <c r="F29" s="79" t="inlineStr">
        <is>
          <t>Bank commission. Routinely forgotten in pricing.</t>
        </is>
      </c>
    </row>
    <row r="30" ht="30" customHeight="1">
      <c r="A30" s="30" t="inlineStr">
        <is>
          <t>Liquidated damages cap</t>
        </is>
      </c>
      <c r="B30" s="86" t="n">
        <v>0.1</v>
      </c>
      <c r="C30" s="63" t="n">
        <v>238828.9663425804</v>
      </c>
      <c r="D30" s="63" t="n">
        <v>516386.8564867176</v>
      </c>
      <c r="E30" s="31" t="inlineStr"/>
      <c r="F30" s="79" t="inlineStr">
        <is>
          <t>Convention is 0.5% per week of delay capped at 10%. This is the schedule risk expressed in rupees.</t>
        </is>
      </c>
    </row>
    <row r="31" ht="30" customHeight="1">
      <c r="A31" s="30" t="inlineStr">
        <is>
          <t>Retention against M6</t>
        </is>
      </c>
      <c r="B31" s="86" t="n">
        <v>0.1</v>
      </c>
      <c r="C31" s="63" t="n">
        <v>238828.9663425804</v>
      </c>
      <c r="D31" s="63" t="n">
        <v>516386.8564867176</v>
      </c>
      <c r="E31" s="31" t="inlineStr"/>
      <c r="F31" s="79" t="inlineStr">
        <is>
          <t>M6 is itself 10% and is the natural retention. Do not stack a further retention on top of it.</t>
        </is>
      </c>
    </row>
  </sheetData>
  <mergeCells count="3">
    <mergeCell ref="A2:F2"/>
    <mergeCell ref="A22:F2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W79"/>
  <sheetViews>
    <sheetView showGridLines="0" workbookViewId="0">
      <selection activeCell="A1" sqref="A1"/>
    </sheetView>
  </sheetViews>
  <sheetFormatPr baseColWidth="8" defaultRowHeight="15"/>
  <cols>
    <col width="14" customWidth="1" min="1" max="1"/>
    <col width="42"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s>
  <sheetData>
    <row r="1" ht="22" customHeight="1">
      <c r="A1" s="1" t="inlineStr">
        <is>
          <t>Charts</t>
        </is>
      </c>
    </row>
    <row r="2" ht="28" customHeight="1">
      <c r="A2" s="2" t="inlineStr">
        <is>
          <t>Live Excel charts driven by the data blocks below them. The Gantt is a stacked bar whose first series is invisible — that series carries the start week, the second carries the duration. Edit a number in the block and the chart moves.</t>
        </is>
      </c>
    </row>
    <row r="4">
      <c r="AC4" s="87" t="inlineStr">
        <is>
          <t>Chart data →</t>
        </is>
      </c>
      <c r="AD4" s="73" t="inlineStr">
        <is>
          <t>Item</t>
        </is>
      </c>
      <c r="AE4" s="73" t="inlineStr">
        <is>
          <t>Start-1</t>
        </is>
      </c>
      <c r="AF4" s="73" t="inlineStr">
        <is>
          <t>Duration</t>
        </is>
      </c>
    </row>
    <row r="5">
      <c r="AD5" s="44" t="inlineStr">
        <is>
          <t>Stage 1 · 0 · Mandate and decisions</t>
        </is>
      </c>
      <c r="AE5" s="44" t="n">
        <v>0</v>
      </c>
      <c r="AF5" s="44" t="n">
        <v>12</v>
      </c>
    </row>
    <row r="6">
      <c r="AD6" s="44" t="inlineStr">
        <is>
          <t>Stage 1 · 1 · Emergency remediation</t>
        </is>
      </c>
      <c r="AE6" s="44" t="n">
        <v>2</v>
      </c>
      <c r="AF6" s="44" t="n">
        <v>6</v>
      </c>
    </row>
    <row r="7">
      <c r="AD7" s="44" t="inlineStr">
        <is>
          <t>Stage 1 · 2 · Inventory and redirect map</t>
        </is>
      </c>
      <c r="AE7" s="44" t="n">
        <v>2</v>
      </c>
      <c r="AF7" s="44" t="n">
        <v>18</v>
      </c>
    </row>
    <row r="8">
      <c r="AD8" s="44" t="inlineStr">
        <is>
          <t>Stage 1 · P · Programme management</t>
        </is>
      </c>
      <c r="AE8" s="44" t="n">
        <v>0</v>
      </c>
      <c r="AF8" s="44" t="n">
        <v>24</v>
      </c>
    </row>
    <row r="9">
      <c r="AD9" s="44" t="inlineStr">
        <is>
          <t>Procurement gap</t>
        </is>
      </c>
      <c r="AE9" s="44" t="n">
        <v>24</v>
      </c>
      <c r="AF9" s="44" t="n">
        <v>12</v>
      </c>
    </row>
    <row r="10">
      <c r="AD10" s="44" t="inlineStr">
        <is>
          <t>Stage 2 · 3 · Build and content load</t>
        </is>
      </c>
      <c r="AE10" s="44" t="n">
        <v>36</v>
      </c>
      <c r="AF10" s="44" t="n">
        <v>22</v>
      </c>
    </row>
    <row r="11">
      <c r="AD11" s="44" t="inlineStr">
        <is>
          <t>Stage 2 · 4 · Audit and clearance</t>
        </is>
      </c>
      <c r="AE11" s="44" t="n">
        <v>53</v>
      </c>
      <c r="AF11" s="44" t="n">
        <v>17</v>
      </c>
    </row>
    <row r="12">
      <c r="AD12" s="44" t="inlineStr">
        <is>
          <t>Stage 2 · 5 · Cut-over and hypercare</t>
        </is>
      </c>
      <c r="AE12" s="44" t="n">
        <v>65</v>
      </c>
      <c r="AF12" s="44" t="n">
        <v>11</v>
      </c>
    </row>
    <row r="13">
      <c r="AD13" s="44" t="inlineStr">
        <is>
          <t>Stage 2 · P · Programme management</t>
        </is>
      </c>
      <c r="AE13" s="44" t="n">
        <v>36</v>
      </c>
      <c r="AF13" s="44" t="n">
        <v>40</v>
      </c>
    </row>
    <row r="15">
      <c r="AD15" s="73" t="inlineStr">
        <is>
          <t>Item</t>
        </is>
      </c>
      <c r="AE15" s="73" t="inlineStr">
        <is>
          <t>Start-1</t>
        </is>
      </c>
      <c r="AF15" s="73" t="inlineStr">
        <is>
          <t>Duration</t>
        </is>
      </c>
    </row>
    <row r="16">
      <c r="AD16" s="44" t="inlineStr">
        <is>
          <t>0.1 Correct the brief; re-issue the objective in</t>
        </is>
      </c>
      <c r="AE16" s="44" t="n">
        <v>0</v>
      </c>
      <c r="AF16" s="44" t="n">
        <v>3</v>
      </c>
    </row>
    <row r="17">
      <c r="AD17" s="44" t="inlineStr">
        <is>
          <t>P.1a Programme and delivery management — Stage 1</t>
        </is>
      </c>
      <c r="AE17" s="44" t="n">
        <v>0</v>
      </c>
      <c r="AF17" s="44" t="n">
        <v>24</v>
      </c>
    </row>
    <row r="18">
      <c r="AD18" s="44" t="inlineStr">
        <is>
          <t>0.2 Gov.In CMS intake via the MoHFW CIO route</t>
        </is>
      </c>
      <c r="AE18" s="44" t="n">
        <v>1</v>
      </c>
      <c r="AF18" s="44" t="n">
        <v>11</v>
      </c>
    </row>
    <row r="19">
      <c r="AD19" s="44" t="inlineStr">
        <is>
          <t>P.2a Business analysis and content governance — S</t>
        </is>
      </c>
      <c r="AE19" s="44" t="n">
        <v>1</v>
      </c>
      <c r="AF19" s="44" t="n">
        <v>21</v>
      </c>
    </row>
    <row r="20">
      <c r="AD20" s="44" t="inlineStr">
        <is>
          <t>0.6 Redirect-capability determination (pivotal)</t>
        </is>
      </c>
      <c r="AE20" s="44" t="n">
        <v>2</v>
      </c>
      <c r="AF20" s="44" t="n">
        <v>5</v>
      </c>
    </row>
    <row r="21">
      <c r="AD21" s="44" t="inlineStr">
        <is>
          <t xml:space="preserve">1.1 Real HTTP 404: error-document status, not a </t>
        </is>
      </c>
      <c r="AE21" s="44" t="n">
        <v>2</v>
      </c>
      <c r="AF21" s="44" t="n">
        <v>4</v>
      </c>
    </row>
    <row r="22">
      <c r="AD22" s="44" t="inlineStr">
        <is>
          <t>1.2 Charset: header says iso-8859-1 over 389 Hin</t>
        </is>
      </c>
      <c r="AE22" s="44" t="n">
        <v>2</v>
      </c>
      <c r="AF22" s="44" t="n">
        <v>5</v>
      </c>
    </row>
    <row r="23">
      <c r="AD23" s="44" t="inlineStr">
        <is>
          <t>2.1 Joomla database extraction and reconciliatio</t>
        </is>
      </c>
      <c r="AE23" s="44" t="n">
        <v>2</v>
      </c>
      <c r="AF23" s="44" t="n">
        <v>5</v>
      </c>
    </row>
    <row r="24">
      <c r="AD24" s="44" t="inlineStr">
        <is>
          <t>2.2 Live crawl with the two-signal validator</t>
        </is>
      </c>
      <c r="AE24" s="44" t="n">
        <v>2</v>
      </c>
      <c r="AF24" s="44" t="n">
        <v>4</v>
      </c>
    </row>
    <row r="25">
      <c r="AD25" s="44" t="inlineStr">
        <is>
          <t>0.4 registry.gov.in control and DNS readiness</t>
        </is>
      </c>
      <c r="AE25" s="44" t="n">
        <v>3</v>
      </c>
      <c r="AF25" s="44" t="n">
        <v>4</v>
      </c>
    </row>
    <row r="26">
      <c r="AD26" s="44" t="inlineStr">
        <is>
          <t>0.9 Destination status-code behaviour proven; or</t>
        </is>
      </c>
      <c r="AE26" s="44" t="n">
        <v>3</v>
      </c>
      <c r="AF26" s="44" t="n">
        <v>6</v>
      </c>
    </row>
    <row r="27">
      <c r="AD27" s="44" t="inlineStr">
        <is>
          <t>1.7 CSP hardening on the live site</t>
        </is>
      </c>
      <c r="AE27" s="44" t="n">
        <v>3</v>
      </c>
      <c r="AF27" s="44" t="n">
        <v>5</v>
      </c>
    </row>
    <row r="28">
      <c r="AD28" s="44" t="inlineStr">
        <is>
          <t>0.5 Security-audit route settled in writing</t>
        </is>
      </c>
      <c r="AE28" s="44" t="n">
        <v>4</v>
      </c>
      <c r="AF28" s="44" t="n">
        <v>5</v>
      </c>
    </row>
    <row r="29">
      <c r="AD29" s="44" t="inlineStr">
        <is>
          <t>1.4 GIGW policy pages and portal links (DBIM man</t>
        </is>
      </c>
      <c r="AE29" s="44" t="n">
        <v>4</v>
      </c>
      <c r="AF29" s="44" t="n">
        <v>4</v>
      </c>
    </row>
    <row r="30">
      <c r="AD30" s="44" t="inlineStr">
        <is>
          <t xml:space="preserve">1.8 lang="hi" across 389 Hindi pages; close the </t>
        </is>
      </c>
      <c r="AE30" s="44" t="n">
        <v>4</v>
      </c>
      <c r="AF30" s="44" t="n">
        <v>4</v>
      </c>
    </row>
    <row r="31">
      <c r="AD31" s="44" t="inlineStr">
        <is>
          <t>2.3 Wayback / CommonCrawl orphan recovery</t>
        </is>
      </c>
      <c r="AE31" s="44" t="n">
        <v>4</v>
      </c>
      <c r="AF31" s="44" t="n">
        <v>4</v>
      </c>
    </row>
    <row r="32">
      <c r="AD32" s="44" t="inlineStr">
        <is>
          <t>0.8 DBIM logo lockup 3A/3B determination</t>
        </is>
      </c>
      <c r="AE32" s="44" t="n">
        <v>5</v>
      </c>
      <c r="AF32" s="44" t="n">
        <v>5</v>
      </c>
    </row>
    <row r="33">
      <c r="AD33" s="44" t="inlineStr">
        <is>
          <t>1.6 robots.txt and a stopgap sitemap</t>
        </is>
      </c>
      <c r="AE33" s="44" t="n">
        <v>5</v>
      </c>
      <c r="AF33" s="44" t="n">
        <v>2</v>
      </c>
    </row>
    <row r="34">
      <c r="AD34" s="44" t="inlineStr">
        <is>
          <t>2.4 Search Console traffic overlay</t>
        </is>
      </c>
      <c r="AE34" s="44" t="n">
        <v>5</v>
      </c>
      <c r="AF34" s="44" t="n">
        <v>4</v>
      </c>
    </row>
    <row r="35">
      <c r="AD35" s="44" t="inlineStr">
        <is>
          <t>2.5 Union of four sources into one authoritative</t>
        </is>
      </c>
      <c r="AE35" s="44" t="n">
        <v>7</v>
      </c>
      <c r="AF35" s="44" t="n">
        <v>4</v>
      </c>
    </row>
    <row r="36">
      <c r="AD36" s="44" t="inlineStr">
        <is>
          <t>2.9 Hindi pairing by hreflang; bilingual gap qua</t>
        </is>
      </c>
      <c r="AE36" s="44" t="n">
        <v>8</v>
      </c>
      <c r="AF36" s="44" t="n">
        <v>5</v>
      </c>
    </row>
    <row r="37">
      <c r="AD37" s="44" t="inlineStr">
        <is>
          <t>2.6 Triage facilitation — keep / archive / retir</t>
        </is>
      </c>
      <c r="AE37" s="44" t="n">
        <v>9</v>
      </c>
      <c r="AF37" s="44" t="n">
        <v>10</v>
      </c>
    </row>
    <row r="38">
      <c r="AD38" s="44" t="inlineStr">
        <is>
          <t>2.7 PDF estate inventory and disposition (~2,758</t>
        </is>
      </c>
      <c r="AE38" s="44" t="n">
        <v>10</v>
      </c>
      <c r="AF38" s="44" t="n">
        <v>8</v>
      </c>
    </row>
    <row r="39">
      <c r="AD39" s="44" t="inlineStr">
        <is>
          <t>2.8 Redirect map — ~1,727 distinct source paths;</t>
        </is>
      </c>
      <c r="AE39" s="44" t="n">
        <v>12</v>
      </c>
      <c r="AF39" s="44" t="n">
        <v>8</v>
      </c>
    </row>
    <row r="40">
      <c r="AD40" s="44" t="inlineStr">
        <is>
          <t>P.3a Documentation, SOPs and the Stage 2 cost bas</t>
        </is>
      </c>
      <c r="AE40" s="44" t="n">
        <v>17</v>
      </c>
      <c r="AF40" s="44" t="n">
        <v>7</v>
      </c>
    </row>
    <row r="41">
      <c r="AD41" s="44" t="inlineStr">
        <is>
          <t>3.1 IA re-expression into the platform's flat st</t>
        </is>
      </c>
      <c r="AE41" s="44" t="n">
        <v>36</v>
      </c>
      <c r="AF41" s="44" t="n">
        <v>6</v>
      </c>
    </row>
    <row r="42">
      <c r="AD42" s="44" t="inlineStr">
        <is>
          <t>P.1b Programme and delivery management — Stage 2</t>
        </is>
      </c>
      <c r="AE42" s="44" t="n">
        <v>36</v>
      </c>
      <c r="AF42" s="44" t="n">
        <v>40</v>
      </c>
    </row>
    <row r="43">
      <c r="AD43" s="44" t="inlineStr">
        <is>
          <t>P.2b Business analysis and content governance — S</t>
        </is>
      </c>
      <c r="AE43" s="44" t="n">
        <v>36</v>
      </c>
      <c r="AF43" s="44" t="n">
        <v>38</v>
      </c>
    </row>
    <row r="44">
      <c r="AD44" s="44" t="inlineStr">
        <is>
          <t>3.3 Platform configuration, roles, editorial wor</t>
        </is>
      </c>
      <c r="AE44" s="44" t="n">
        <v>37</v>
      </c>
      <c r="AF44" s="44" t="n">
        <v>6</v>
      </c>
    </row>
    <row r="45">
      <c r="AD45" s="44" t="inlineStr">
        <is>
          <t>3.2 Template mapping and the CCPS banner slot</t>
        </is>
      </c>
      <c r="AE45" s="44" t="n">
        <v>38</v>
      </c>
      <c r="AF45" s="44" t="n">
        <v>6</v>
      </c>
    </row>
    <row r="46">
      <c r="AD46" s="44" t="inlineStr">
        <is>
          <t>3.11 Applications disposition — scoping only</t>
        </is>
      </c>
      <c r="AE46" s="44" t="n">
        <v>39</v>
      </c>
      <c r="AF46" s="44" t="n">
        <v>7</v>
      </c>
    </row>
    <row r="47">
      <c r="AD47" s="44" t="inlineStr">
        <is>
          <t>3.4 Content mapping, authoring supervision and Q</t>
        </is>
      </c>
      <c r="AE47" s="44" t="n">
        <v>41</v>
      </c>
      <c r="AF47" s="44" t="n">
        <v>15</v>
      </c>
    </row>
    <row r="48">
      <c r="AD48" s="44" t="inlineStr">
        <is>
          <t>3.7 Document register: categorisation scheme, pr</t>
        </is>
      </c>
      <c r="AE48" s="44" t="n">
        <v>42</v>
      </c>
      <c r="AF48" s="44" t="n">
        <v>8</v>
      </c>
    </row>
    <row r="49">
      <c r="AD49" s="44" t="inlineStr">
        <is>
          <t>3.9 Accessibility conformance — 9 templates, one</t>
        </is>
      </c>
      <c r="AE49" s="44" t="n">
        <v>45</v>
      </c>
      <c r="AF49" s="44" t="n">
        <v>13</v>
      </c>
    </row>
    <row r="50">
      <c r="AD50" s="44" t="inlineStr">
        <is>
          <t>3.5 Content load — Hindi, byte-verified</t>
        </is>
      </c>
      <c r="AE50" s="44" t="n">
        <v>47</v>
      </c>
      <c r="AF50" s="44" t="n">
        <v>7</v>
      </c>
    </row>
    <row r="51">
      <c r="AD51" s="44" t="inlineStr">
        <is>
          <t>3.10 Search configuration and relevance</t>
        </is>
      </c>
      <c r="AE51" s="44" t="n">
        <v>49</v>
      </c>
      <c r="AF51" s="44" t="n">
        <v>5</v>
      </c>
    </row>
    <row r="52">
      <c r="AD52" s="44" t="inlineStr">
        <is>
          <t>3.12 .सरकार.भारत IDN registration and configurati</t>
        </is>
      </c>
      <c r="AE52" s="44" t="n">
        <v>51</v>
      </c>
      <c r="AF52" s="44" t="n">
        <v>4</v>
      </c>
    </row>
    <row r="53">
      <c r="AD53" s="44" t="inlineStr">
        <is>
          <t>3.14 Editorial training and standard operating pr</t>
        </is>
      </c>
      <c r="AE53" s="44" t="n">
        <v>51</v>
      </c>
      <c r="AF53" s="44" t="n">
        <v>7</v>
      </c>
    </row>
    <row r="54">
      <c r="AD54" s="44" t="inlineStr">
        <is>
          <t>4.2 Auditor procurement and pre-audit paperwork</t>
        </is>
      </c>
      <c r="AE54" s="44" t="n">
        <v>53</v>
      </c>
      <c r="AF54" s="44" t="n">
        <v>9</v>
      </c>
    </row>
    <row r="55">
      <c r="AD55" s="44" t="inlineStr">
        <is>
          <t>4.1 Pre-audit hardening and pre-clearance of the</t>
        </is>
      </c>
      <c r="AE55" s="44" t="n">
        <v>56</v>
      </c>
      <c r="AF55" s="44" t="n">
        <v>5</v>
      </c>
    </row>
    <row r="56">
      <c r="AD56" s="44" t="inlineStr">
        <is>
          <t>4.3 VAPT cycle 1 and remediation</t>
        </is>
      </c>
      <c r="AE56" s="44" t="n">
        <v>61</v>
      </c>
      <c r="AF56" s="44" t="n">
        <v>6</v>
      </c>
    </row>
    <row r="57">
      <c r="AD57" s="44" t="inlineStr">
        <is>
          <t>5.1 Cut-over runbook: one A-record, MX untouchab</t>
        </is>
      </c>
      <c r="AE57" s="44" t="n">
        <v>65</v>
      </c>
      <c r="AF57" s="44" t="n">
        <v>6</v>
      </c>
    </row>
    <row r="58">
      <c r="AD58" s="44" t="inlineStr">
        <is>
          <t>4.4 Retest and closure</t>
        </is>
      </c>
      <c r="AE58" s="44" t="n">
        <v>66</v>
      </c>
      <c r="AF58" s="44" t="n">
        <v>3</v>
      </c>
    </row>
    <row r="59">
      <c r="AD59" s="44" t="inlineStr">
        <is>
          <t>4.5 Audit clearance documentation</t>
        </is>
      </c>
      <c r="AE59" s="44" t="n">
        <v>67</v>
      </c>
      <c r="AF59" s="44" t="n">
        <v>3</v>
      </c>
    </row>
    <row r="60">
      <c r="AD60" s="44" t="inlineStr">
        <is>
          <t>P.3b Documentation, SOPs and handover — Stage 2</t>
        </is>
      </c>
      <c r="AE60" s="44" t="n">
        <v>67</v>
      </c>
      <c r="AF60" s="44" t="n">
        <v>9</v>
      </c>
    </row>
    <row r="61">
      <c r="AD61" s="44" t="inlineStr">
        <is>
          <t>5.2 Redirect layer live; every row asserted auto</t>
        </is>
      </c>
      <c r="AE61" s="44" t="n">
        <v>68</v>
      </c>
      <c r="AF61" s="44" t="n">
        <v>4</v>
      </c>
    </row>
    <row r="62">
      <c r="AD62" s="44" t="inlineStr">
        <is>
          <t>5.4 IGOD refresh and India Portal depository rec</t>
        </is>
      </c>
      <c r="AE62" s="44" t="n">
        <v>69</v>
      </c>
      <c r="AF62" s="44" t="n">
        <v>5</v>
      </c>
    </row>
    <row r="63">
      <c r="AD63" s="44" t="inlineStr">
        <is>
          <t>5.3 Sitemap, robots and Search Console submissio</t>
        </is>
      </c>
      <c r="AE63" s="44" t="n">
        <v>70</v>
      </c>
      <c r="AF63" s="44" t="n">
        <v>3</v>
      </c>
    </row>
    <row r="64">
      <c r="AD64" s="44" t="inlineStr">
        <is>
          <t>5.5 Hypercare and 404-log review</t>
        </is>
      </c>
      <c r="AE64" s="44" t="n">
        <v>71</v>
      </c>
      <c r="AF64" s="44" t="n">
        <v>5</v>
      </c>
    </row>
    <row r="70">
      <c r="AD70" s="73" t="inlineStr">
        <is>
          <t>Role</t>
        </is>
      </c>
      <c r="AE70" s="73" t="inlineStr">
        <is>
          <t>P1</t>
        </is>
      </c>
      <c r="AF70" s="73" t="inlineStr">
        <is>
          <t>P2</t>
        </is>
      </c>
      <c r="AG70" s="73" t="inlineStr">
        <is>
          <t>P3</t>
        </is>
      </c>
      <c r="AH70" s="73" t="inlineStr">
        <is>
          <t>P4</t>
        </is>
      </c>
      <c r="AI70" s="73" t="inlineStr">
        <is>
          <t>P5</t>
        </is>
      </c>
      <c r="AJ70" s="73" t="inlineStr">
        <is>
          <t>P6</t>
        </is>
      </c>
      <c r="AK70" s="73" t="inlineStr">
        <is>
          <t>P7</t>
        </is>
      </c>
      <c r="AL70" s="73" t="inlineStr">
        <is>
          <t>P8</t>
        </is>
      </c>
      <c r="AM70" s="73" t="inlineStr">
        <is>
          <t>P9</t>
        </is>
      </c>
      <c r="AN70" s="73" t="inlineStr">
        <is>
          <t>P10</t>
        </is>
      </c>
      <c r="AO70" s="73" t="inlineStr">
        <is>
          <t>P11</t>
        </is>
      </c>
      <c r="AP70" s="73" t="inlineStr">
        <is>
          <t>P12</t>
        </is>
      </c>
      <c r="AQ70" s="73" t="inlineStr">
        <is>
          <t>P13</t>
        </is>
      </c>
      <c r="AR70" s="73" t="inlineStr">
        <is>
          <t>P14</t>
        </is>
      </c>
      <c r="AS70" s="73" t="inlineStr">
        <is>
          <t>P15</t>
        </is>
      </c>
      <c r="AT70" s="73" t="inlineStr">
        <is>
          <t>P16</t>
        </is>
      </c>
      <c r="AU70" s="73" t="inlineStr">
        <is>
          <t>P17</t>
        </is>
      </c>
      <c r="AV70" s="73" t="inlineStr">
        <is>
          <t>P18</t>
        </is>
      </c>
      <c r="AW70" s="73" t="inlineStr">
        <is>
          <t>P19</t>
        </is>
      </c>
    </row>
    <row r="71">
      <c r="AD71" s="44" t="inlineStr">
        <is>
          <t>Migration Engineer</t>
        </is>
      </c>
      <c r="AE71" s="44" t="n">
        <v>10.9</v>
      </c>
      <c r="AF71" s="44" t="n">
        <v>26.67</v>
      </c>
      <c r="AG71" s="44" t="n">
        <v>4.53</v>
      </c>
      <c r="AH71" s="44" t="n">
        <v>10.39</v>
      </c>
      <c r="AI71" s="44" t="n">
        <v>10.78</v>
      </c>
      <c r="AJ71" s="44" t="n">
        <v>2.61</v>
      </c>
      <c r="AK71" s="44" t="n">
        <v>0</v>
      </c>
      <c r="AL71" s="44" t="n">
        <v>0</v>
      </c>
      <c r="AM71" s="44" t="n">
        <v>0</v>
      </c>
      <c r="AN71" s="44" t="n">
        <v>1.88</v>
      </c>
      <c r="AO71" s="44" t="n">
        <v>4.84</v>
      </c>
      <c r="AP71" s="44" t="n">
        <v>5.32</v>
      </c>
      <c r="AQ71" s="44" t="n">
        <v>7.35</v>
      </c>
      <c r="AR71" s="44" t="n">
        <v>6.09</v>
      </c>
      <c r="AS71" s="44" t="n">
        <v>1.24</v>
      </c>
      <c r="AT71" s="44" t="n">
        <v>2.5</v>
      </c>
      <c r="AU71" s="44" t="n">
        <v>4.15</v>
      </c>
      <c r="AV71" s="44" t="n">
        <v>10.82</v>
      </c>
      <c r="AW71" s="44" t="n">
        <v>6.53</v>
      </c>
    </row>
    <row r="72">
      <c r="AD72" s="44" t="inlineStr">
        <is>
          <t>Content Strategist / Business Analyst</t>
        </is>
      </c>
      <c r="AE72" s="44" t="n">
        <v>2.46</v>
      </c>
      <c r="AF72" s="44" t="n">
        <v>7.15</v>
      </c>
      <c r="AG72" s="44" t="n">
        <v>11.92</v>
      </c>
      <c r="AH72" s="44" t="n">
        <v>15.62</v>
      </c>
      <c r="AI72" s="44" t="n">
        <v>14.23</v>
      </c>
      <c r="AJ72" s="44" t="n">
        <v>3.74</v>
      </c>
      <c r="AK72" s="44" t="n">
        <v>0</v>
      </c>
      <c r="AL72" s="44" t="n">
        <v>0</v>
      </c>
      <c r="AM72" s="44" t="n">
        <v>0</v>
      </c>
      <c r="AN72" s="44" t="n">
        <v>6.22</v>
      </c>
      <c r="AO72" s="44" t="n">
        <v>5.49</v>
      </c>
      <c r="AP72" s="44" t="n">
        <v>2.47</v>
      </c>
      <c r="AQ72" s="44" t="n">
        <v>2.1</v>
      </c>
      <c r="AR72" s="44" t="n">
        <v>3.71</v>
      </c>
      <c r="AS72" s="44" t="n">
        <v>2.64</v>
      </c>
      <c r="AT72" s="44" t="n">
        <v>1.56</v>
      </c>
      <c r="AU72" s="44" t="n">
        <v>2.74</v>
      </c>
      <c r="AV72" s="44" t="n">
        <v>7.21</v>
      </c>
      <c r="AW72" s="44" t="n">
        <v>6.51</v>
      </c>
    </row>
    <row r="73">
      <c r="AD73" s="44" t="inlineStr">
        <is>
          <t>Engagement Lead / Programme Manager</t>
        </is>
      </c>
      <c r="AE73" s="44" t="n">
        <v>6.99</v>
      </c>
      <c r="AF73" s="44" t="n">
        <v>5.31</v>
      </c>
      <c r="AG73" s="44" t="n">
        <v>5.68</v>
      </c>
      <c r="AH73" s="44" t="n">
        <v>4.4</v>
      </c>
      <c r="AI73" s="44" t="n">
        <v>4.1</v>
      </c>
      <c r="AJ73" s="44" t="n">
        <v>3.19</v>
      </c>
      <c r="AK73" s="44" t="n">
        <v>0</v>
      </c>
      <c r="AL73" s="44" t="n">
        <v>0</v>
      </c>
      <c r="AM73" s="44" t="n">
        <v>0</v>
      </c>
      <c r="AN73" s="44" t="n">
        <v>2.37</v>
      </c>
      <c r="AO73" s="44" t="n">
        <v>2.37</v>
      </c>
      <c r="AP73" s="44" t="n">
        <v>2.37</v>
      </c>
      <c r="AQ73" s="44" t="n">
        <v>2.37</v>
      </c>
      <c r="AR73" s="44" t="n">
        <v>3.17</v>
      </c>
      <c r="AS73" s="44" t="n">
        <v>3.44</v>
      </c>
      <c r="AT73" s="44" t="n">
        <v>2.91</v>
      </c>
      <c r="AU73" s="44" t="n">
        <v>2.99</v>
      </c>
      <c r="AV73" s="44" t="n">
        <v>2.99</v>
      </c>
      <c r="AW73" s="44" t="n">
        <v>2.37</v>
      </c>
    </row>
    <row r="74">
      <c r="AD74" s="44" t="inlineStr">
        <is>
          <t>Solution Architect — Gov.In CMS / DBIM</t>
        </is>
      </c>
      <c r="AE74" s="44" t="n">
        <v>4.54</v>
      </c>
      <c r="AF74" s="44" t="n">
        <v>5.63</v>
      </c>
      <c r="AG74" s="44" t="n">
        <v>2.22</v>
      </c>
      <c r="AH74" s="44" t="n">
        <v>0</v>
      </c>
      <c r="AI74" s="44" t="n">
        <v>0</v>
      </c>
      <c r="AJ74" s="44" t="n">
        <v>0</v>
      </c>
      <c r="AK74" s="44" t="n">
        <v>0</v>
      </c>
      <c r="AL74" s="44" t="n">
        <v>0</v>
      </c>
      <c r="AM74" s="44" t="n">
        <v>0</v>
      </c>
      <c r="AN74" s="44" t="n">
        <v>6.66</v>
      </c>
      <c r="AO74" s="44" t="n">
        <v>8.609999999999999</v>
      </c>
      <c r="AP74" s="44" t="n">
        <v>1.37</v>
      </c>
      <c r="AQ74" s="44" t="n">
        <v>1.37</v>
      </c>
      <c r="AR74" s="44" t="n">
        <v>0.91</v>
      </c>
      <c r="AS74" s="44" t="n">
        <v>0</v>
      </c>
      <c r="AT74" s="44" t="n">
        <v>0</v>
      </c>
      <c r="AU74" s="44" t="n">
        <v>0.92</v>
      </c>
      <c r="AV74" s="44" t="n">
        <v>0.92</v>
      </c>
      <c r="AW74" s="44" t="n">
        <v>0</v>
      </c>
    </row>
    <row r="75">
      <c r="AD75" s="44" t="inlineStr">
        <is>
          <t>Security Engineer</t>
        </is>
      </c>
      <c r="AE75" s="44" t="n">
        <v>1.06</v>
      </c>
      <c r="AF75" s="44" t="n">
        <v>5.62</v>
      </c>
      <c r="AG75" s="44" t="n">
        <v>0.42</v>
      </c>
      <c r="AH75" s="44" t="n">
        <v>0</v>
      </c>
      <c r="AI75" s="44" t="n">
        <v>0</v>
      </c>
      <c r="AJ75" s="44" t="n">
        <v>0</v>
      </c>
      <c r="AK75" s="44" t="n">
        <v>0</v>
      </c>
      <c r="AL75" s="44" t="n">
        <v>0</v>
      </c>
      <c r="AM75" s="44" t="n">
        <v>0</v>
      </c>
      <c r="AN75" s="44" t="n">
        <v>0</v>
      </c>
      <c r="AO75" s="44" t="n">
        <v>0</v>
      </c>
      <c r="AP75" s="44" t="n">
        <v>0</v>
      </c>
      <c r="AQ75" s="44" t="n">
        <v>0</v>
      </c>
      <c r="AR75" s="44" t="n">
        <v>0.8</v>
      </c>
      <c r="AS75" s="44" t="n">
        <v>6.03</v>
      </c>
      <c r="AT75" s="44" t="n">
        <v>5.06</v>
      </c>
      <c r="AU75" s="44" t="n">
        <v>6.39</v>
      </c>
      <c r="AV75" s="44" t="n">
        <v>2.69</v>
      </c>
      <c r="AW75" s="44" t="n">
        <v>0</v>
      </c>
    </row>
    <row r="76">
      <c r="AD76" s="44" t="inlineStr">
        <is>
          <t>Content Operations / Editorial support</t>
        </is>
      </c>
      <c r="AE76" s="44" t="n">
        <v>0</v>
      </c>
      <c r="AF76" s="44" t="n">
        <v>1.48</v>
      </c>
      <c r="AG76" s="44" t="n">
        <v>1.53</v>
      </c>
      <c r="AH76" s="44" t="n">
        <v>0.38</v>
      </c>
      <c r="AI76" s="44" t="n">
        <v>0</v>
      </c>
      <c r="AJ76" s="44" t="n">
        <v>0</v>
      </c>
      <c r="AK76" s="44" t="n">
        <v>0</v>
      </c>
      <c r="AL76" s="44" t="n">
        <v>0</v>
      </c>
      <c r="AM76" s="44" t="n">
        <v>0</v>
      </c>
      <c r="AN76" s="44" t="n">
        <v>0</v>
      </c>
      <c r="AO76" s="44" t="n">
        <v>1.87</v>
      </c>
      <c r="AP76" s="44" t="n">
        <v>3.55</v>
      </c>
      <c r="AQ76" s="44" t="n">
        <v>4.48</v>
      </c>
      <c r="AR76" s="44" t="n">
        <v>4.27</v>
      </c>
      <c r="AS76" s="44" t="n">
        <v>1.08</v>
      </c>
      <c r="AT76" s="44" t="n">
        <v>0</v>
      </c>
      <c r="AU76" s="44" t="n">
        <v>0</v>
      </c>
      <c r="AV76" s="44" t="n">
        <v>1.15</v>
      </c>
      <c r="AW76" s="44" t="n">
        <v>0.77</v>
      </c>
    </row>
    <row r="77">
      <c r="AD77" s="44" t="inlineStr">
        <is>
          <t>QA Engineer</t>
        </is>
      </c>
      <c r="AE77" s="44" t="n">
        <v>1.69</v>
      </c>
      <c r="AF77" s="44" t="n">
        <v>2.18</v>
      </c>
      <c r="AG77" s="44" t="n">
        <v>0</v>
      </c>
      <c r="AH77" s="44" t="n">
        <v>0</v>
      </c>
      <c r="AI77" s="44" t="n">
        <v>0</v>
      </c>
      <c r="AJ77" s="44" t="n">
        <v>0</v>
      </c>
      <c r="AK77" s="44" t="n">
        <v>0</v>
      </c>
      <c r="AL77" s="44" t="n">
        <v>0</v>
      </c>
      <c r="AM77" s="44" t="n">
        <v>0</v>
      </c>
      <c r="AN77" s="44" t="n">
        <v>0</v>
      </c>
      <c r="AO77" s="44" t="n">
        <v>0.62</v>
      </c>
      <c r="AP77" s="44" t="n">
        <v>1.79</v>
      </c>
      <c r="AQ77" s="44" t="n">
        <v>2.11</v>
      </c>
      <c r="AR77" s="44" t="n">
        <v>2.11</v>
      </c>
      <c r="AS77" s="44" t="n">
        <v>0.64</v>
      </c>
      <c r="AT77" s="44" t="n">
        <v>0</v>
      </c>
      <c r="AU77" s="44" t="n">
        <v>1</v>
      </c>
      <c r="AV77" s="44" t="n">
        <v>4.33</v>
      </c>
      <c r="AW77" s="44" t="n">
        <v>2.9</v>
      </c>
    </row>
    <row r="78">
      <c r="AD78" s="44" t="inlineStr">
        <is>
          <t>Accessibility Specialist</t>
        </is>
      </c>
      <c r="AE78" s="44" t="n">
        <v>0</v>
      </c>
      <c r="AF78" s="44" t="n">
        <v>1.28</v>
      </c>
      <c r="AG78" s="44" t="n">
        <v>0</v>
      </c>
      <c r="AH78" s="44" t="n">
        <v>0</v>
      </c>
      <c r="AI78" s="44" t="n">
        <v>0</v>
      </c>
      <c r="AJ78" s="44" t="n">
        <v>0</v>
      </c>
      <c r="AK78" s="44" t="n">
        <v>0</v>
      </c>
      <c r="AL78" s="44" t="n">
        <v>0</v>
      </c>
      <c r="AM78" s="44" t="n">
        <v>0</v>
      </c>
      <c r="AN78" s="44" t="n">
        <v>1.29</v>
      </c>
      <c r="AO78" s="44" t="n">
        <v>2.59</v>
      </c>
      <c r="AP78" s="44" t="n">
        <v>2.25</v>
      </c>
      <c r="AQ78" s="44" t="n">
        <v>3</v>
      </c>
      <c r="AR78" s="44" t="n">
        <v>3</v>
      </c>
      <c r="AS78" s="44" t="n">
        <v>1.5</v>
      </c>
      <c r="AT78" s="44" t="n">
        <v>0</v>
      </c>
      <c r="AU78" s="44" t="n">
        <v>0</v>
      </c>
      <c r="AV78" s="44" t="n">
        <v>0</v>
      </c>
      <c r="AW78" s="44" t="n">
        <v>0</v>
      </c>
    </row>
    <row r="79">
      <c r="AD79" s="23" t="inlineStr">
        <is>
          <t>Total FTE</t>
        </is>
      </c>
      <c r="AE79" s="44" t="n">
        <v>1.382</v>
      </c>
      <c r="AF79" s="44" t="n">
        <v>2.766</v>
      </c>
      <c r="AG79" s="44" t="n">
        <v>1.315</v>
      </c>
      <c r="AH79" s="44" t="n">
        <v>1.54</v>
      </c>
      <c r="AI79" s="44" t="n">
        <v>1.455</v>
      </c>
      <c r="AJ79" s="44" t="n">
        <v>0.477</v>
      </c>
      <c r="AK79" s="44" t="n">
        <v>0</v>
      </c>
      <c r="AL79" s="44" t="n">
        <v>0</v>
      </c>
      <c r="AM79" s="44" t="n">
        <v>0</v>
      </c>
      <c r="AN79" s="44" t="n">
        <v>0.921</v>
      </c>
      <c r="AO79" s="44" t="n">
        <v>1.319</v>
      </c>
      <c r="AP79" s="44" t="n">
        <v>0.957</v>
      </c>
      <c r="AQ79" s="44" t="n">
        <v>1.139</v>
      </c>
      <c r="AR79" s="44" t="n">
        <v>1.204</v>
      </c>
      <c r="AS79" s="44" t="n">
        <v>0.828</v>
      </c>
      <c r="AT79" s="44" t="n">
        <v>0.602</v>
      </c>
      <c r="AU79" s="44" t="n">
        <v>0.91</v>
      </c>
      <c r="AV79" s="44" t="n">
        <v>1.506</v>
      </c>
      <c r="AW79" s="44" t="n">
        <v>0.954</v>
      </c>
    </row>
  </sheetData>
  <mergeCells count="2">
    <mergeCell ref="A2:H2"/>
    <mergeCell ref="A1:H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2026-09-01T08:12:45Z</dcterms:created>
  <dcterms:modified xmlns:dcterms="http://purl.org/dc/terms/" xmlns:xsi="http://www.w3.org/2001/XMLSchema-instance" xsi:type="dcterms:W3CDTF">2026-09-01T08:12:45Z</dcterms:modified>
</cp:coreProperties>
</file>