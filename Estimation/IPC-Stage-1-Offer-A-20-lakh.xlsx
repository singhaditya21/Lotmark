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Off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Milestones &amp; Payment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Resource Plan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Commerci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18">
    <font>
      <name val="Calibri"/>
      <family val="2"/>
      <color theme="1"/>
      <sz val="11"/>
      <scheme val="minor"/>
    </font>
    <font>
      <name val="Calibri"/>
      <b val="1"/>
      <color rgb="001C1917"/>
      <sz val="15"/>
    </font>
    <font>
      <name val="Calibri"/>
      <i val="1"/>
      <color rgb="0078716C"/>
      <sz val="9"/>
    </font>
    <font>
      <name val="Calibri"/>
      <b val="1"/>
      <color rgb="00B45309"/>
      <sz val="10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b val="1"/>
      <color rgb="00FFFFFF"/>
      <sz val="9"/>
    </font>
    <font>
      <name val="Calibri"/>
      <b val="1"/>
      <color rgb="001C1917"/>
      <sz val="9"/>
    </font>
    <font>
      <name val="Calibri"/>
      <color rgb="001C1917"/>
      <sz val="9"/>
    </font>
    <font>
      <name val="Calibri"/>
      <b val="1"/>
      <color rgb="00166534"/>
      <sz val="9"/>
    </font>
    <font>
      <name val="Calibri"/>
      <b val="1"/>
      <color rgb="00B45309"/>
      <sz val="9"/>
    </font>
    <font>
      <name val="Calibri"/>
      <b val="1"/>
      <color rgb="0078716C"/>
      <sz val="9"/>
    </font>
    <font>
      <name val="Calibri"/>
      <color rgb="0078716C"/>
      <sz val="9"/>
    </font>
    <font>
      <name val="Calibri"/>
      <b val="1"/>
      <color rgb="009A3412"/>
      <sz val="9"/>
    </font>
    <font>
      <name val="Calibri"/>
      <b val="1"/>
      <color rgb="00FFFFFF"/>
      <sz val="8"/>
    </font>
    <font>
      <name val="Calibri"/>
      <b val="1"/>
      <color rgb="00B45309"/>
      <sz val="11"/>
    </font>
    <font>
      <name val="Calibri"/>
      <color rgb="009A3412"/>
      <sz val="10"/>
    </font>
    <font>
      <name val="Calibri"/>
      <b val="1"/>
      <color rgb="009A3412"/>
      <sz val="10"/>
    </font>
  </fonts>
  <fills count="9">
    <fill>
      <patternFill/>
    </fill>
    <fill>
      <patternFill patternType="gray125"/>
    </fill>
    <fill>
      <patternFill patternType="solid">
        <fgColor rgb="00FAFAF9"/>
      </patternFill>
    </fill>
    <fill>
      <patternFill patternType="solid">
        <fgColor rgb="00292524"/>
      </patternFill>
    </fill>
    <fill>
      <patternFill patternType="solid">
        <fgColor rgb="00B45309"/>
      </patternFill>
    </fill>
    <fill>
      <patternFill patternType="solid">
        <fgColor rgb="008C7A5B"/>
      </patternFill>
    </fill>
    <fill>
      <patternFill patternType="solid">
        <fgColor rgb="009A6A4F"/>
      </patternFill>
    </fill>
    <fill>
      <patternFill patternType="solid">
        <fgColor rgb="004F6B7A"/>
      </patternFill>
    </fill>
    <fill>
      <patternFill patternType="solid">
        <fgColor rgb="006B6459"/>
      </patternFill>
    </fill>
  </fills>
  <borders count="2">
    <border>
      <left/>
      <right/>
      <top/>
      <bottom/>
      <diagonal/>
    </border>
    <border>
      <bottom style="thin">
        <color rgb="00E7E5E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3" fillId="0" borderId="1" pivotButton="0" quotePrefix="0" xfId="0"/>
    <xf numFmtId="0" fontId="4" fillId="2" borderId="0" pivotButton="0" quotePrefix="0" xfId="0"/>
    <xf numFmtId="164" fontId="4" fillId="2" borderId="0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9" fontId="5" fillId="0" borderId="1" applyAlignment="1" pivotButton="0" quotePrefix="0" xfId="0">
      <alignment horizontal="center"/>
    </xf>
    <xf numFmtId="3" fontId="5" fillId="0" borderId="1" pivotButton="0" quotePrefix="0" xfId="0"/>
    <xf numFmtId="9" fontId="4" fillId="2" borderId="0" pivotButton="0" quotePrefix="0" xfId="0"/>
    <xf numFmtId="3" fontId="4" fillId="2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 wrapText="1"/>
    </xf>
    <xf numFmtId="164" fontId="5" fillId="0" borderId="1" pivotButton="0" quotePrefix="0" xfId="0"/>
    <xf numFmtId="3" fontId="16" fillId="0" borderId="1" pivotButton="0" quotePrefix="0" xfId="0"/>
    <xf numFmtId="3" fontId="4" fillId="0" borderId="0" pivotButton="0" quotePrefix="0" xfId="0"/>
    <xf numFmtId="0" fontId="2" fillId="0" borderId="0" pivotButton="0" quotePrefix="0" xfId="0"/>
    <xf numFmtId="3" fontId="17" fillId="0" borderId="0" pivotButton="0" quotePrefix="0" xfId="0"/>
    <xf numFmtId="165" fontId="17" fillId="0" borderId="0" pivotButton="0" quotePrefix="0" xfId="0"/>
    <xf numFmtId="3" fontId="8" fillId="0" borderId="1" pivotButton="0" quotePrefix="0" xfId="0"/>
    <xf numFmtId="164" fontId="8" fillId="0" borderId="1" pivotButton="0" quotePrefix="0" xfId="0"/>
    <xf numFmtId="2" fontId="4" fillId="2" borderId="0" pivotButton="0" quotePrefix="0" xfId="0"/>
    <xf numFmtId="0" fontId="6" fillId="3" borderId="0" pivotButton="0" quotePrefix="0" xfId="0"/>
    <xf numFmtId="0" fontId="8" fillId="0" borderId="0" pivotButton="0" quotePrefix="0" xfId="0"/>
    <xf numFmtId="166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15" fillId="0" borderId="1" pivotButton="0" quotePrefix="0" xfId="0"/>
    <xf numFmtId="3" fontId="15" fillId="0" borderId="1" pivotButton="0" quotePrefix="0" xfId="0"/>
    <xf numFmtId="0" fontId="12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Gantt — 20 work packages, 20 weeks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'Charts'!U4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'Charts'!$T$5:$T$24</f>
            </numRef>
          </cat>
          <val>
            <numRef>
              <f>'Charts'!$U$5:$U$24</f>
            </numRef>
          </val>
        </ser>
        <ser>
          <idx val="1"/>
          <order val="1"/>
          <tx>
            <strRef>
              <f>'Charts'!V4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cat>
            <numRef>
              <f>'Charts'!$T$5:$T$24</f>
            </numRef>
          </cat>
          <val>
            <numRef>
              <f>'Charts'!$V$5:$V$24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loading — person-days by role, 5 four-week periods (÷20 for FTE)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'Charts'!T28</f>
            </strRef>
          </tx>
          <spPr>
            <a:solidFill xmlns:a="http://schemas.openxmlformats.org/drawingml/2006/main">
              <a:srgbClr val="4F6B7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'Charts'!$U$28:$Y$28</f>
            </numRef>
          </val>
        </ser>
        <ser>
          <idx val="1"/>
          <order val="1"/>
          <tx>
            <strRef>
              <f>'Charts'!T29</f>
            </strRef>
          </tx>
          <spPr>
            <a:solidFill xmlns:a="http://schemas.openxmlformats.org/drawingml/2006/main">
              <a:srgbClr val="8C7A5B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'Charts'!$U$29:$Y$29</f>
            </numRef>
          </val>
        </ser>
        <ser>
          <idx val="2"/>
          <order val="2"/>
          <tx>
            <strRef>
              <f>'Charts'!T30</f>
            </strRef>
          </tx>
          <spPr>
            <a:solidFill xmlns:a="http://schemas.openxmlformats.org/drawingml/2006/main">
              <a:srgbClr val="9A6A4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'Charts'!$U$30:$Y$30</f>
            </numRef>
          </val>
        </ser>
        <ser>
          <idx val="3"/>
          <order val="3"/>
          <tx>
            <strRef>
              <f>'Charts'!T31</f>
            </strRef>
          </tx>
          <spPr>
            <a:solidFill xmlns:a="http://schemas.openxmlformats.org/drawingml/2006/main">
              <a:srgbClr val="5B6E4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'Charts'!$U$31:$Y$31</f>
            </numRef>
          </val>
        </ser>
        <ser>
          <idx val="4"/>
          <order val="4"/>
          <tx>
            <strRef>
              <f>'Charts'!T32</f>
            </strRef>
          </tx>
          <spPr>
            <a:solidFill xmlns:a="http://schemas.openxmlformats.org/drawingml/2006/main">
              <a:srgbClr val="4F5F7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'Charts'!$U$32:$Y$32</f>
            </numRef>
          </val>
        </ser>
        <ser>
          <idx val="5"/>
          <order val="5"/>
          <tx>
            <strRef>
              <f>'Charts'!T33</f>
            </strRef>
          </tx>
          <spPr>
            <a:solidFill xmlns:a="http://schemas.openxmlformats.org/drawingml/2006/main">
              <a:srgbClr val="7A5B6B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'Charts'!$U$33:$Y$33</f>
            </numRef>
          </val>
        </ser>
        <ser>
          <idx val="6"/>
          <order val="6"/>
          <tx>
            <strRef>
              <f>'Charts'!T34</f>
            </strRef>
          </tx>
          <spPr>
            <a:solidFill xmlns:a="http://schemas.openxmlformats.org/drawingml/2006/main">
              <a:srgbClr val="6B6459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'Charts'!$U$34:$Y$34</f>
            </numRef>
          </val>
        </ser>
        <ser>
          <idx val="7"/>
          <order val="7"/>
          <tx>
            <strRef>
              <f>'Charts'!T35</f>
            </strRef>
          </tx>
          <spPr>
            <a:solidFill xmlns:a="http://schemas.openxmlformats.org/drawingml/2006/main">
              <a:srgbClr val="A88B4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'Charts'!$U$27:$Y$27</f>
            </numRef>
          </cat>
          <val>
            <numRef>
              <f>'Charts'!$U$35:$Y$35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Four-week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08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100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22" customHeight="1">
      <c r="A1" s="1" t="inlineStr">
        <is>
          <t>Offer A · Remediate and inventory</t>
        </is>
      </c>
    </row>
    <row r="2" ht="28" customHeight="1">
      <c r="A2" s="2" t="inlineStr">
        <is>
          <t>ipc.gov.in onto the Gov.In CMS Platform and DBIM. Stage 1 scoped to a final cost of INR 2,000,000 inclusive of GST. Basis date 2026-09-01. Generated from the effort model — regenerate rather than edit cells.</t>
        </is>
      </c>
    </row>
    <row r="4" ht="15" customHeight="1">
      <c r="A4" s="3" t="inlineStr">
        <is>
          <t>THE PRICE</t>
        </is>
      </c>
      <c r="B4" s="4" t="inlineStr"/>
    </row>
    <row r="5" ht="15" customHeight="1">
      <c r="A5" s="5" t="inlineStr">
        <is>
          <t>Final cost</t>
        </is>
      </c>
      <c r="B5" s="6" t="inlineStr">
        <is>
          <t>INR 2,000,000 inclusive of GST at 18%</t>
        </is>
      </c>
    </row>
    <row r="6" ht="15" customHeight="1">
      <c r="A6" s="5" t="inlineStr">
        <is>
          <t>Contract value</t>
        </is>
      </c>
      <c r="B6" s="6" t="inlineStr">
        <is>
          <t>INR 1,694,915 excluding GST</t>
        </is>
      </c>
    </row>
    <row r="7" ht="15" customHeight="1">
      <c r="A7" s="5" t="inlineStr">
        <is>
          <t>Effort</t>
        </is>
      </c>
      <c r="B7" s="6" t="inlineStr">
        <is>
          <t>122 person-days at P80, 20 weeks, 20 work packages</t>
        </is>
      </c>
    </row>
    <row r="8" ht="30" customHeight="1">
      <c r="A8" s="5" t="inlineStr">
        <is>
          <t>Supplier margin</t>
        </is>
      </c>
      <c r="B8" s="6" t="inlineStr">
        <is>
          <t>12.8% — reported, not hidden. Scope was cut until it fit the ceiling; the margin is what fell out. Below about 10% this stops being a viable engagement and the ceiling should move instead of the scope.</t>
        </is>
      </c>
    </row>
    <row r="10" ht="15" customHeight="1">
      <c r="A10" s="3" t="inlineStr">
        <is>
          <t>WHAT IT BUYS</t>
        </is>
      </c>
      <c r="B10" s="4" t="inlineStr"/>
    </row>
    <row r="11" ht="30" customHeight="1">
      <c r="A11" s="5" t="inlineStr">
        <is>
          <t>Included</t>
        </is>
      </c>
      <c r="B11" s="6" t="inlineStr">
        <is>
          <t>The live site made lawful and measurable, and one authoritative register of what the estate actually contains. The redirect map is delivered by PATTERN with only the traffic-bearing tail decided by hand.</t>
        </is>
      </c>
    </row>
    <row r="12" ht="45" customHeight="1">
      <c r="A12" s="5" t="inlineStr">
        <is>
          <t>NOT included</t>
        </is>
      </c>
      <c r="B12" s="6" t="inlineStr">
        <is>
          <t>A row-by-row redirect map, a signed PDF disposition, orphan recovery, CSP hardening, the destination status-layer design, and the GIGW policy-page work. Each moves to Stage 2, where it will cost more than it would have here.</t>
        </is>
      </c>
    </row>
    <row r="13" ht="45" customHeight="1">
      <c r="A13" s="5" t="inlineStr">
        <is>
          <t>Not in either offer</t>
        </is>
      </c>
      <c r="B13" s="6" t="inlineStr">
        <is>
          <t>The migration itself. Stage 2 is a separate procurement and is indicatively INR 207 person-days — around INR 27.8 lakh ex-GST — but that figure must be re-derived from this engagement's register before anyone commits to it.</t>
        </is>
      </c>
    </row>
    <row r="15" ht="15" customHeight="1">
      <c r="A15" s="3" t="inlineStr">
        <is>
          <t>TOOLING</t>
        </is>
      </c>
      <c r="B15" s="4" t="inlineStr"/>
    </row>
    <row r="16" ht="30" customHeight="1">
      <c r="A16" s="5" t="inlineStr">
        <is>
          <t>Claude Max 20x</t>
        </is>
      </c>
      <c r="B16" s="6" t="inlineStr">
        <is>
          <t>1 seat x 5 months x USD 200/month at INR 95/USD = INR 95,000. Carried in the cost base and priced into the contract value above.</t>
        </is>
      </c>
    </row>
    <row r="17" ht="30" customHeight="1">
      <c r="A17" s="5" t="inlineStr">
        <is>
          <t>Price basis</t>
        </is>
      </c>
      <c r="B17" s="6" t="inlineStr">
        <is>
          <t>Tier price per aipricing.guru and IntuitionLabs, September 2026. NOTE: claude.com/pricing itself lists Max as 'From $100 per month' without separating the 5x and 20x tiers, so confirm at purchase.</t>
        </is>
      </c>
    </row>
    <row r="18" ht="30" customHeight="1">
      <c r="A18" s="5" t="inlineStr">
        <is>
          <t>Tax treatment</t>
        </is>
      </c>
      <c r="B18" s="6" t="inlineStr">
        <is>
          <t>Imported digital service (OIDAR). 18% IGST applies under reverse charge and is recoverable as input credit by a GST-registered supplier, so it is carried ex-tax in the cost base.</t>
        </is>
      </c>
    </row>
    <row r="19" ht="15" customHeight="1">
      <c r="A19" s="5" t="inlineStr">
        <is>
          <t>FX basis</t>
        </is>
      </c>
      <c r="B19" s="6" t="inlineStr">
        <is>
          <t>USD/INR planning rate, September 2026 (spot band 94.6-95.8). Take a real quote at the day's rate.</t>
        </is>
      </c>
    </row>
    <row r="20" ht="60" customHeight="1">
      <c r="A20" s="5" t="inlineStr">
        <is>
          <t>What it is for</t>
        </is>
      </c>
      <c r="B20" s="6" t="inlineStr">
        <is>
          <t>The analytical core of this engagement — reconciling four inventory sources, fingerprinting templates across the estate, and deciding redirect dispositions — is exactly the work an assistant accelerates. No productivity multiplier has been applied to the unit rates, because there is no evidence base for a specific one. The licence is carried as a cost the supplier bears, not as a discount to IPC.</t>
        </is>
      </c>
    </row>
    <row r="22" ht="15" customHeight="1">
      <c r="A22" s="3" t="inlineStr">
        <is>
          <t>HOW TO READ IT</t>
        </is>
      </c>
      <c r="B22" s="4" t="inlineStr"/>
    </row>
    <row r="23" ht="30" customHeight="1">
      <c r="A23" s="5" t="inlineStr">
        <is>
          <t>Scope</t>
        </is>
      </c>
      <c r="B23" s="6" t="inlineStr">
        <is>
          <t>Every package, and every package cut or resized to make the ceiling, shown side by side with the full Stage 1 scope.</t>
        </is>
      </c>
    </row>
    <row r="24" ht="15" customHeight="1">
      <c r="A24" s="5" t="inlineStr">
        <is>
          <t>Timeline</t>
        </is>
      </c>
      <c r="B24" s="6" t="inlineStr">
        <is>
          <t>Gantt by week across 20 weeks. ◆ marks a milestone.</t>
        </is>
      </c>
    </row>
    <row r="25" ht="15" customHeight="1">
      <c r="A25" s="5" t="inlineStr">
        <is>
          <t>Milestones &amp; Payments</t>
        </is>
      </c>
      <c r="B25" s="6" t="inlineStr">
        <is>
          <t>Each paid against an exit criterion that can be failed.</t>
        </is>
      </c>
    </row>
    <row r="26" ht="15" customHeight="1">
      <c r="A26" s="5" t="inlineStr">
        <is>
          <t>Cash Flow</t>
        </is>
      </c>
      <c r="B26" s="6" t="inlineStr">
        <is>
          <t>Cost against cash on a four-week payment lag. The peak negative position is working capital.</t>
        </is>
      </c>
    </row>
    <row r="27" ht="15" customHeight="1">
      <c r="A27" s="5" t="inlineStr">
        <is>
          <t>Resource Plan</t>
        </is>
      </c>
      <c r="B27" s="6" t="inlineStr">
        <is>
          <t>Person-days and FTE by role and four-week period.</t>
        </is>
      </c>
    </row>
    <row r="28" ht="15" customHeight="1">
      <c r="A28" s="5" t="inlineStr">
        <is>
          <t>Charts</t>
        </is>
      </c>
      <c r="B28" s="6" t="inlineStr">
        <is>
          <t>Live Gantt and resource-loading charts, driven by the data block to their right.</t>
        </is>
      </c>
    </row>
    <row r="29" ht="15" customHeight="1">
      <c r="A29" s="5" t="inlineStr">
        <is>
          <t>Commercials</t>
        </is>
      </c>
      <c r="B29" s="6" t="inlineStr">
        <is>
          <t>Price build-up, rate card, and EMD, PBG and LD at IPC's own revealed rates.</t>
        </is>
      </c>
    </row>
    <row r="31" ht="15" customHeight="1">
      <c r="A31" s="3" t="inlineStr">
        <is>
          <t>SETTLE BEFORE SIGNING</t>
        </is>
      </c>
      <c r="B31" s="4" t="inlineStr"/>
    </row>
    <row r="32" ht="45" customHeight="1">
      <c r="A32" s="5" t="inlineStr">
        <is>
          <t>Supplier tier</t>
        </is>
      </c>
      <c r="B32" s="6" t="inlineStr">
        <is>
          <t>This price assumes a boutique or specialist supplier. IPC's own last IT tender (GEM/2026/B/7781379, 13-07-2026) demanded ISO 9001, ISO 27000 and CMMI Level 3 — a bar that excludes that tier. At mid-tier rates this scope is roughly 40% more. Resolve the procurement category before bidding, not at evaluation.</t>
        </is>
      </c>
    </row>
    <row r="33" ht="30" customHeight="1">
      <c r="A33" s="5" t="inlineStr">
        <is>
          <t>Client effort</t>
        </is>
      </c>
      <c r="B33" s="6" t="inlineStr">
        <is>
          <t>40–70 person-days of IPC subject-matter time for triage sign-off, tracked and never billed. 60–80% of a content audit is client-side and cannot be bought.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14" customWidth="1" min="4" max="4"/>
    <col width="16" customWidth="1" min="5" max="5"/>
    <col width="11" customWidth="1" min="6" max="6"/>
    <col width="30" customWidth="1" min="7" max="7"/>
  </cols>
  <sheetData>
    <row r="1" ht="22" customHeight="1">
      <c r="A1" s="1" t="inlineStr">
        <is>
          <t>Scope — what fits the ceiling and what does not</t>
        </is>
      </c>
    </row>
    <row r="2" ht="28" customHeight="1">
      <c r="A2" s="2" t="inlineStr">
        <is>
          <t>Design to cost, shown honestly: the full Stage 1 scope alongside what this offer carries. Anything cut here reappears in Stage 2, usually dearer.</t>
        </is>
      </c>
    </row>
    <row r="4" ht="30" customHeight="1">
      <c r="A4" s="7" t="inlineStr">
        <is>
          <t>Ref</t>
        </is>
      </c>
      <c r="B4" s="7" t="inlineStr">
        <is>
          <t>Phase</t>
        </is>
      </c>
      <c r="C4" s="7" t="inlineStr">
        <is>
          <t>Work package</t>
        </is>
      </c>
      <c r="D4" s="7" t="inlineStr">
        <is>
          <t>Full O/M/P</t>
        </is>
      </c>
      <c r="E4" s="7" t="inlineStr">
        <is>
          <t>This offer O/M/P</t>
        </is>
      </c>
      <c r="F4" s="7" t="inlineStr">
        <is>
          <t>Expected PD</t>
        </is>
      </c>
      <c r="G4" s="7" t="inlineStr">
        <is>
          <t>Status</t>
        </is>
      </c>
    </row>
    <row r="5">
      <c r="A5" s="8" t="inlineStr">
        <is>
          <t>0.1</t>
        </is>
      </c>
      <c r="B5" s="9" t="inlineStr">
        <is>
          <t>0 · Mandate and decisions</t>
        </is>
      </c>
      <c r="C5" s="9" t="inlineStr">
        <is>
          <t>Correct the brief; re-issue the objective in writing</t>
        </is>
      </c>
      <c r="D5" s="10" t="inlineStr">
        <is>
          <t>2/3/6</t>
        </is>
      </c>
      <c r="E5" s="10" t="inlineStr">
        <is>
          <t>2/3/6</t>
        </is>
      </c>
      <c r="F5" s="11" t="n">
        <v>3.333333333333333</v>
      </c>
      <c r="G5" s="12" t="inlineStr">
        <is>
          <t>Full</t>
        </is>
      </c>
    </row>
    <row r="6">
      <c r="A6" s="8" t="inlineStr">
        <is>
          <t>0.2</t>
        </is>
      </c>
      <c r="B6" s="9" t="inlineStr">
        <is>
          <t>0 · Mandate and decisions</t>
        </is>
      </c>
      <c r="C6" s="9" t="inlineStr">
        <is>
          <t>Gov.In CMS intake via the MoHFW CIO route</t>
        </is>
      </c>
      <c r="D6" s="10" t="inlineStr">
        <is>
          <t>3/5/11</t>
        </is>
      </c>
      <c r="E6" s="10" t="inlineStr">
        <is>
          <t>2/3/6</t>
        </is>
      </c>
      <c r="F6" s="11" t="n">
        <v>3.333333333333333</v>
      </c>
      <c r="G6" s="13" t="inlineStr">
        <is>
          <t>Reduced depth</t>
        </is>
      </c>
    </row>
    <row r="7">
      <c r="A7" s="8" t="inlineStr">
        <is>
          <t>0.4</t>
        </is>
      </c>
      <c r="B7" s="9" t="inlineStr">
        <is>
          <t>0 · Mandate and decisions</t>
        </is>
      </c>
      <c r="C7" s="9" t="inlineStr">
        <is>
          <t>registry.gov.in control and DNS readiness</t>
        </is>
      </c>
      <c r="D7" s="10" t="inlineStr">
        <is>
          <t>1/2/4</t>
        </is>
      </c>
      <c r="E7" s="10" t="inlineStr">
        <is>
          <t>1/2/4</t>
        </is>
      </c>
      <c r="F7" s="11" t="n">
        <v>2.166666666666667</v>
      </c>
      <c r="G7" s="12" t="inlineStr">
        <is>
          <t>Full</t>
        </is>
      </c>
    </row>
    <row r="8">
      <c r="A8" s="8" t="inlineStr">
        <is>
          <t>0.5</t>
        </is>
      </c>
      <c r="B8" s="9" t="inlineStr">
        <is>
          <t>0 · Mandate and decisions</t>
        </is>
      </c>
      <c r="C8" s="9" t="inlineStr">
        <is>
          <t>Security-audit route settled in writing</t>
        </is>
      </c>
      <c r="D8" s="10" t="inlineStr">
        <is>
          <t>1/2/4</t>
        </is>
      </c>
      <c r="E8" s="10" t="inlineStr">
        <is>
          <t>1/2/4</t>
        </is>
      </c>
      <c r="F8" s="11" t="n">
        <v>2.166666666666667</v>
      </c>
      <c r="G8" s="12" t="inlineStr">
        <is>
          <t>Full</t>
        </is>
      </c>
    </row>
    <row r="9">
      <c r="A9" s="8" t="inlineStr">
        <is>
          <t>0.6</t>
        </is>
      </c>
      <c r="B9" s="9" t="inlineStr">
        <is>
          <t>0 · Mandate and decisions</t>
        </is>
      </c>
      <c r="C9" s="9" t="inlineStr">
        <is>
          <t>Redirect-capability determination (pivotal)</t>
        </is>
      </c>
      <c r="D9" s="10" t="inlineStr">
        <is>
          <t>2/3/7</t>
        </is>
      </c>
      <c r="E9" s="10" t="inlineStr">
        <is>
          <t>2/3/7</t>
        </is>
      </c>
      <c r="F9" s="11" t="n">
        <v>3.5</v>
      </c>
      <c r="G9" s="12" t="inlineStr">
        <is>
          <t>Full</t>
        </is>
      </c>
    </row>
    <row r="10">
      <c r="A10" s="14" t="inlineStr">
        <is>
          <t>0.8</t>
        </is>
      </c>
      <c r="B10" s="15" t="inlineStr">
        <is>
          <t>0 · Mandate and decisions</t>
        </is>
      </c>
      <c r="C10" s="15" t="inlineStr">
        <is>
          <t>DBIM logo lockup 3A/3B determination</t>
        </is>
      </c>
      <c r="D10" s="16" t="inlineStr">
        <is>
          <t>0.5/1/2</t>
        </is>
      </c>
      <c r="E10" s="16" t="inlineStr">
        <is>
          <t>—</t>
        </is>
      </c>
      <c r="F10" s="17" t="inlineStr"/>
      <c r="G10" s="18" t="inlineStr">
        <is>
          <t>CUT — moves to Stage 2</t>
        </is>
      </c>
    </row>
    <row r="11">
      <c r="A11" s="14" t="inlineStr">
        <is>
          <t>0.9</t>
        </is>
      </c>
      <c r="B11" s="15" t="inlineStr">
        <is>
          <t>0 · Mandate and decisions</t>
        </is>
      </c>
      <c r="C11" s="15" t="inlineStr">
        <is>
          <t>Destination status-code behaviour proven; origin status layer designed</t>
        </is>
      </c>
      <c r="D11" s="16" t="inlineStr">
        <is>
          <t>2/4/9</t>
        </is>
      </c>
      <c r="E11" s="16" t="inlineStr">
        <is>
          <t>—</t>
        </is>
      </c>
      <c r="F11" s="17" t="inlineStr"/>
      <c r="G11" s="18" t="inlineStr">
        <is>
          <t>CUT — moves to Stage 2</t>
        </is>
      </c>
    </row>
    <row r="12">
      <c r="A12" s="8" t="inlineStr">
        <is>
          <t>1.1</t>
        </is>
      </c>
      <c r="B12" s="9" t="inlineStr">
        <is>
          <t>1 · Emergency remediation</t>
        </is>
      </c>
      <c r="C12" s="9" t="inlineStr">
        <is>
          <t>Real HTTP 404: error-document status, not a 302 to a 200 page</t>
        </is>
      </c>
      <c r="D12" s="10" t="inlineStr">
        <is>
          <t>1.5/3/7</t>
        </is>
      </c>
      <c r="E12" s="10" t="inlineStr">
        <is>
          <t>1.5/3/7</t>
        </is>
      </c>
      <c r="F12" s="11" t="n">
        <v>3.416666666666667</v>
      </c>
      <c r="G12" s="12" t="inlineStr">
        <is>
          <t>Full</t>
        </is>
      </c>
    </row>
    <row r="13">
      <c r="A13" s="8" t="inlineStr">
        <is>
          <t>1.2</t>
        </is>
      </c>
      <c r="B13" s="9" t="inlineStr">
        <is>
          <t>1 · Emergency remediation</t>
        </is>
      </c>
      <c r="C13" s="9" t="inlineStr">
        <is>
          <t>Charset: header says iso-8859-1 over 389 Hindi pages; header wins</t>
        </is>
      </c>
      <c r="D13" s="10" t="inlineStr">
        <is>
          <t>2/4/9</t>
        </is>
      </c>
      <c r="E13" s="10" t="inlineStr">
        <is>
          <t>2/4/9</t>
        </is>
      </c>
      <c r="F13" s="11" t="n">
        <v>4.5</v>
      </c>
      <c r="G13" s="12" t="inlineStr">
        <is>
          <t>Full</t>
        </is>
      </c>
    </row>
    <row r="14">
      <c r="A14" s="14" t="inlineStr">
        <is>
          <t>1.4</t>
        </is>
      </c>
      <c r="B14" s="15" t="inlineStr">
        <is>
          <t>1 · Emergency remediation</t>
        </is>
      </c>
      <c r="C14" s="15" t="inlineStr">
        <is>
          <t>GIGW policy pages and portal links (DBIM mandates no india.gov.in link)</t>
        </is>
      </c>
      <c r="D14" s="16" t="inlineStr">
        <is>
          <t>1/2/4</t>
        </is>
      </c>
      <c r="E14" s="16" t="inlineStr">
        <is>
          <t>—</t>
        </is>
      </c>
      <c r="F14" s="17" t="inlineStr"/>
      <c r="G14" s="18" t="inlineStr">
        <is>
          <t>CUT — moves to Stage 2</t>
        </is>
      </c>
    </row>
    <row r="15">
      <c r="A15" s="8" t="inlineStr">
        <is>
          <t>1.6</t>
        </is>
      </c>
      <c r="B15" s="9" t="inlineStr">
        <is>
          <t>1 · Emergency remediation</t>
        </is>
      </c>
      <c r="C15" s="9" t="inlineStr">
        <is>
          <t>robots.txt and a stopgap sitemap</t>
        </is>
      </c>
      <c r="D15" s="10" t="inlineStr">
        <is>
          <t>0.5/1/2</t>
        </is>
      </c>
      <c r="E15" s="10" t="inlineStr">
        <is>
          <t>0.5/1/2</t>
        </is>
      </c>
      <c r="F15" s="11" t="n">
        <v>1.083333333333333</v>
      </c>
      <c r="G15" s="12" t="inlineStr">
        <is>
          <t>Full</t>
        </is>
      </c>
    </row>
    <row r="16">
      <c r="A16" s="14" t="inlineStr">
        <is>
          <t>1.7</t>
        </is>
      </c>
      <c r="B16" s="15" t="inlineStr">
        <is>
          <t>1 · Emergency remediation</t>
        </is>
      </c>
      <c r="C16" s="15" t="inlineStr">
        <is>
          <t>CSP hardening on the live site</t>
        </is>
      </c>
      <c r="D16" s="16" t="inlineStr">
        <is>
          <t>2/4/10</t>
        </is>
      </c>
      <c r="E16" s="16" t="inlineStr">
        <is>
          <t>—</t>
        </is>
      </c>
      <c r="F16" s="17" t="inlineStr"/>
      <c r="G16" s="18" t="inlineStr">
        <is>
          <t>CUT — moves to Stage 2</t>
        </is>
      </c>
    </row>
    <row r="17">
      <c r="A17" s="8" t="inlineStr">
        <is>
          <t>1.8</t>
        </is>
      </c>
      <c r="B17" s="9" t="inlineStr">
        <is>
          <t>1 · Emergency remediation</t>
        </is>
      </c>
      <c r="C17" s="9" t="inlineStr">
        <is>
          <t>lang="hi" across 389 Hindi pages; close the joomla.xml version disclosure</t>
        </is>
      </c>
      <c r="D17" s="10" t="inlineStr">
        <is>
          <t>1/2/5</t>
        </is>
      </c>
      <c r="E17" s="10" t="inlineStr">
        <is>
          <t>1/2/5</t>
        </is>
      </c>
      <c r="F17" s="11" t="n">
        <v>2.333333333333333</v>
      </c>
      <c r="G17" s="12" t="inlineStr">
        <is>
          <t>Full</t>
        </is>
      </c>
    </row>
    <row r="18">
      <c r="A18" s="8" t="inlineStr">
        <is>
          <t>2.1</t>
        </is>
      </c>
      <c r="B18" s="9" t="inlineStr">
        <is>
          <t>2 · Inventory and redirect map</t>
        </is>
      </c>
      <c r="C18" s="9" t="inlineStr">
        <is>
          <t>Joomla database extraction and reconciliation</t>
        </is>
      </c>
      <c r="D18" s="10" t="inlineStr">
        <is>
          <t>2/4/10</t>
        </is>
      </c>
      <c r="E18" s="10" t="inlineStr">
        <is>
          <t>2/4/10</t>
        </is>
      </c>
      <c r="F18" s="11" t="n">
        <v>4.666666666666667</v>
      </c>
      <c r="G18" s="12" t="inlineStr">
        <is>
          <t>Full</t>
        </is>
      </c>
    </row>
    <row r="19">
      <c r="A19" s="8" t="inlineStr">
        <is>
          <t>2.2</t>
        </is>
      </c>
      <c r="B19" s="9" t="inlineStr">
        <is>
          <t>2 · Inventory and redirect map</t>
        </is>
      </c>
      <c r="C19" s="9" t="inlineStr">
        <is>
          <t>Live crawl with the two-signal validator</t>
        </is>
      </c>
      <c r="D19" s="10" t="inlineStr">
        <is>
          <t>3/5/10</t>
        </is>
      </c>
      <c r="E19" s="10" t="inlineStr">
        <is>
          <t>3/4/8</t>
        </is>
      </c>
      <c r="F19" s="11" t="n">
        <v>4.5</v>
      </c>
      <c r="G19" s="13" t="inlineStr">
        <is>
          <t>Reduced depth</t>
        </is>
      </c>
    </row>
    <row r="20">
      <c r="A20" s="14" t="inlineStr">
        <is>
          <t>2.3</t>
        </is>
      </c>
      <c r="B20" s="15" t="inlineStr">
        <is>
          <t>2 · Inventory and redirect map</t>
        </is>
      </c>
      <c r="C20" s="15" t="inlineStr">
        <is>
          <t>Wayback / CommonCrawl orphan recovery</t>
        </is>
      </c>
      <c r="D20" s="16" t="inlineStr">
        <is>
          <t>2/3/7</t>
        </is>
      </c>
      <c r="E20" s="16" t="inlineStr">
        <is>
          <t>—</t>
        </is>
      </c>
      <c r="F20" s="17" t="inlineStr"/>
      <c r="G20" s="18" t="inlineStr">
        <is>
          <t>CUT — moves to Stage 2</t>
        </is>
      </c>
    </row>
    <row r="21">
      <c r="A21" s="8" t="inlineStr">
        <is>
          <t>2.4</t>
        </is>
      </c>
      <c r="B21" s="9" t="inlineStr">
        <is>
          <t>2 · Inventory and redirect map</t>
        </is>
      </c>
      <c r="C21" s="9" t="inlineStr">
        <is>
          <t>Search Console traffic overlay</t>
        </is>
      </c>
      <c r="D21" s="10" t="inlineStr">
        <is>
          <t>1/2/4</t>
        </is>
      </c>
      <c r="E21" s="10" t="inlineStr">
        <is>
          <t>1/2/4</t>
        </is>
      </c>
      <c r="F21" s="11" t="n">
        <v>2.166666666666667</v>
      </c>
      <c r="G21" s="12" t="inlineStr">
        <is>
          <t>Full</t>
        </is>
      </c>
    </row>
    <row r="22">
      <c r="A22" s="8" t="inlineStr">
        <is>
          <t>2.5</t>
        </is>
      </c>
      <c r="B22" s="9" t="inlineStr">
        <is>
          <t>2 · Inventory and redirect map</t>
        </is>
      </c>
      <c r="C22" s="9" t="inlineStr">
        <is>
          <t>Union of four sources into one authoritative register</t>
        </is>
      </c>
      <c r="D22" s="10" t="inlineStr">
        <is>
          <t>2/3/7</t>
        </is>
      </c>
      <c r="E22" s="10" t="inlineStr">
        <is>
          <t>2/3/7</t>
        </is>
      </c>
      <c r="F22" s="11" t="n">
        <v>3.5</v>
      </c>
      <c r="G22" s="12" t="inlineStr">
        <is>
          <t>Full</t>
        </is>
      </c>
    </row>
    <row r="23">
      <c r="A23" s="8" t="inlineStr">
        <is>
          <t>2.6</t>
        </is>
      </c>
      <c r="B23" s="9" t="inlineStr">
        <is>
          <t>2 · Inventory and redirect map</t>
        </is>
      </c>
      <c r="C23" s="9" t="inlineStr">
        <is>
          <t>Triage facilitation — keep / archive / retire</t>
        </is>
      </c>
      <c r="D23" s="10" t="inlineStr">
        <is>
          <t>6/10/20</t>
        </is>
      </c>
      <c r="E23" s="10" t="inlineStr">
        <is>
          <t>3/5/10</t>
        </is>
      </c>
      <c r="F23" s="11" t="n">
        <v>5.5</v>
      </c>
      <c r="G23" s="13" t="inlineStr">
        <is>
          <t>Reduced depth</t>
        </is>
      </c>
    </row>
    <row r="24">
      <c r="A24" s="8" t="inlineStr">
        <is>
          <t>2.7</t>
        </is>
      </c>
      <c r="B24" s="9" t="inlineStr">
        <is>
          <t>2 · Inventory and redirect map</t>
        </is>
      </c>
      <c r="C24" s="9" t="inlineStr">
        <is>
          <t>PDF estate inventory and disposition (~2,758 documents)</t>
        </is>
      </c>
      <c r="D24" s="10" t="inlineStr">
        <is>
          <t>5/8/18</t>
        </is>
      </c>
      <c r="E24" s="10" t="inlineStr">
        <is>
          <t>2/4/9</t>
        </is>
      </c>
      <c r="F24" s="11" t="n">
        <v>4.5</v>
      </c>
      <c r="G24" s="13" t="inlineStr">
        <is>
          <t>Reduced depth</t>
        </is>
      </c>
    </row>
    <row r="25">
      <c r="A25" s="8" t="inlineStr">
        <is>
          <t>2.8</t>
        </is>
      </c>
      <c r="B25" s="9" t="inlineStr">
        <is>
          <t>2 · Inventory and redirect map</t>
        </is>
      </c>
      <c r="C25" s="9" t="inlineStr">
        <is>
          <t>Redirect map — ~1,727 distinct source paths; rows exceed paths</t>
        </is>
      </c>
      <c r="D25" s="10" t="inlineStr">
        <is>
          <t>10/16/32</t>
        </is>
      </c>
      <c r="E25" s="10" t="inlineStr">
        <is>
          <t>4/6/12</t>
        </is>
      </c>
      <c r="F25" s="11" t="n">
        <v>6.666666666666667</v>
      </c>
      <c r="G25" s="13" t="inlineStr">
        <is>
          <t>Reduced depth</t>
        </is>
      </c>
    </row>
    <row r="26">
      <c r="A26" s="8" t="inlineStr">
        <is>
          <t>2.9</t>
        </is>
      </c>
      <c r="B26" s="9" t="inlineStr">
        <is>
          <t>2 · Inventory and redirect map</t>
        </is>
      </c>
      <c r="C26" s="9" t="inlineStr">
        <is>
          <t>Hindi pairing by hreflang; bilingual gap quantified</t>
        </is>
      </c>
      <c r="D26" s="10" t="inlineStr">
        <is>
          <t>2/3/7</t>
        </is>
      </c>
      <c r="E26" s="10" t="inlineStr">
        <is>
          <t>2/3/7</t>
        </is>
      </c>
      <c r="F26" s="11" t="n">
        <v>3.5</v>
      </c>
      <c r="G26" s="12" t="inlineStr">
        <is>
          <t>Full</t>
        </is>
      </c>
    </row>
    <row r="27">
      <c r="A27" s="8" t="inlineStr">
        <is>
          <t>P.1a</t>
        </is>
      </c>
      <c r="B27" s="9" t="inlineStr">
        <is>
          <t>P · Programme management</t>
        </is>
      </c>
      <c r="C27" s="9" t="inlineStr">
        <is>
          <t>Programme and delivery management — Stage 1</t>
        </is>
      </c>
      <c r="D27" s="10" t="inlineStr">
        <is>
          <t>8/13/24</t>
        </is>
      </c>
      <c r="E27" s="10" t="inlineStr">
        <is>
          <t>6/9/17</t>
        </is>
      </c>
      <c r="F27" s="11" t="n">
        <v>9.833333333333334</v>
      </c>
      <c r="G27" s="13" t="inlineStr">
        <is>
          <t>Reduced depth</t>
        </is>
      </c>
    </row>
    <row r="28">
      <c r="A28" s="8" t="inlineStr">
        <is>
          <t>P.2a</t>
        </is>
      </c>
      <c r="B28" s="9" t="inlineStr">
        <is>
          <t>P · Programme management</t>
        </is>
      </c>
      <c r="C28" s="9" t="inlineStr">
        <is>
          <t>Business analysis and content governance — Stage 1</t>
        </is>
      </c>
      <c r="D28" s="10" t="inlineStr">
        <is>
          <t>5/8/15</t>
        </is>
      </c>
      <c r="E28" s="10" t="inlineStr">
        <is>
          <t>3/5/10</t>
        </is>
      </c>
      <c r="F28" s="11" t="n">
        <v>5.5</v>
      </c>
      <c r="G28" s="13" t="inlineStr">
        <is>
          <t>Reduced depth</t>
        </is>
      </c>
    </row>
    <row r="29">
      <c r="A29" s="8" t="inlineStr">
        <is>
          <t>P.3a</t>
        </is>
      </c>
      <c r="B29" s="9" t="inlineStr">
        <is>
          <t>P · Programme management</t>
        </is>
      </c>
      <c r="C29" s="9" t="inlineStr">
        <is>
          <t>Documentation, SOPs and the Stage 2 cost baseline</t>
        </is>
      </c>
      <c r="D29" s="10" t="inlineStr">
        <is>
          <t>4/6/12</t>
        </is>
      </c>
      <c r="E29" s="10" t="inlineStr">
        <is>
          <t>3/4/8</t>
        </is>
      </c>
      <c r="F29" s="11" t="n">
        <v>4.5</v>
      </c>
      <c r="G29" s="13" t="inlineStr">
        <is>
          <t>Reduced depth</t>
        </is>
      </c>
    </row>
    <row r="30">
      <c r="A30" s="19" t="inlineStr"/>
      <c r="B30" s="19" t="inlineStr"/>
      <c r="C30" s="19" t="inlineStr">
        <is>
          <t>TOTAL</t>
        </is>
      </c>
      <c r="D30" s="19" t="inlineStr">
        <is>
          <t>130.6 PD expected</t>
        </is>
      </c>
      <c r="E30" s="19" t="inlineStr">
        <is>
          <t>80.7 PD expected</t>
        </is>
      </c>
      <c r="F30" s="20" t="n">
        <v>80.66666666666666</v>
      </c>
      <c r="G30" s="19" t="inlineStr">
        <is>
          <t>122 PD at P80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4" customWidth="1" min="3" max="3"/>
    <col width="8" customWidth="1" min="4" max="4"/>
    <col width="6" customWidth="1" min="5" max="5"/>
    <col width="6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</cols>
  <sheetData>
    <row r="1" ht="22" customHeight="1">
      <c r="A1" s="1" t="inlineStr">
        <is>
          <t>Timeline</t>
        </is>
      </c>
    </row>
    <row r="2" ht="28" customHeight="1">
      <c r="A2" s="2" t="inlineStr">
        <is>
          <t>20 weeks. Bars are scheduled weeks; ◆ marks a milestone. Phase 2 runs alongside Phase 1 rather than after it — the 302-to-404 behaviour is a usable existence oracle, so the inventory is not blocked on the 404 fix.</t>
        </is>
      </c>
    </row>
    <row r="4" ht="30" customHeight="1">
      <c r="A4" s="7" t="inlineStr">
        <is>
          <t>Ref</t>
        </is>
      </c>
      <c r="B4" s="7" t="inlineStr">
        <is>
          <t>Work package</t>
        </is>
      </c>
      <c r="C4" s="7" t="inlineStr">
        <is>
          <t>Phase</t>
        </is>
      </c>
      <c r="D4" s="7" t="inlineStr">
        <is>
          <t>PD</t>
        </is>
      </c>
      <c r="E4" s="7" t="inlineStr">
        <is>
          <t>Start</t>
        </is>
      </c>
      <c r="F4" s="7" t="inlineStr">
        <is>
          <t>End</t>
        </is>
      </c>
      <c r="G4" s="7" t="inlineStr">
        <is>
          <t>W1</t>
        </is>
      </c>
      <c r="H4" s="21" t="inlineStr">
        <is>
          <t>A1</t>
        </is>
      </c>
      <c r="I4" s="7" t="inlineStr">
        <is>
          <t>W3</t>
        </is>
      </c>
      <c r="J4" s="7" t="inlineStr">
        <is>
          <t>W4</t>
        </is>
      </c>
      <c r="K4" s="7" t="inlineStr">
        <is>
          <t>W5</t>
        </is>
      </c>
      <c r="L4" s="7" t="inlineStr">
        <is>
          <t>W6</t>
        </is>
      </c>
      <c r="M4" s="21" t="inlineStr">
        <is>
          <t>A2</t>
        </is>
      </c>
      <c r="N4" s="7" t="inlineStr">
        <is>
          <t>W8</t>
        </is>
      </c>
      <c r="O4" s="7" t="inlineStr">
        <is>
          <t>W9</t>
        </is>
      </c>
      <c r="P4" s="7" t="inlineStr">
        <is>
          <t>W10</t>
        </is>
      </c>
      <c r="Q4" s="21" t="inlineStr">
        <is>
          <t>A3</t>
        </is>
      </c>
      <c r="R4" s="7" t="inlineStr">
        <is>
          <t>W12</t>
        </is>
      </c>
      <c r="S4" s="7" t="inlineStr">
        <is>
          <t>W13</t>
        </is>
      </c>
      <c r="T4" s="7" t="inlineStr">
        <is>
          <t>W14</t>
        </is>
      </c>
      <c r="U4" s="7" t="inlineStr">
        <is>
          <t>W15</t>
        </is>
      </c>
      <c r="V4" s="21" t="inlineStr">
        <is>
          <t>A4</t>
        </is>
      </c>
      <c r="W4" s="7" t="inlineStr">
        <is>
          <t>W17</t>
        </is>
      </c>
      <c r="X4" s="7" t="inlineStr">
        <is>
          <t>W18</t>
        </is>
      </c>
      <c r="Y4" s="7" t="inlineStr">
        <is>
          <t>W19</t>
        </is>
      </c>
      <c r="Z4" s="21" t="inlineStr">
        <is>
          <t>A5</t>
        </is>
      </c>
    </row>
    <row r="5">
      <c r="A5" s="8" t="inlineStr">
        <is>
          <t>0.1</t>
        </is>
      </c>
      <c r="B5" s="9" t="inlineStr">
        <is>
          <t>Correct the brief; re-issue the objective in writing</t>
        </is>
      </c>
      <c r="C5" s="9" t="inlineStr">
        <is>
          <t>0 · Mandate and decisions</t>
        </is>
      </c>
      <c r="D5" s="11" t="n">
        <v>5</v>
      </c>
      <c r="E5" s="10" t="n">
        <v>1</v>
      </c>
      <c r="F5" s="10" t="n">
        <v>2</v>
      </c>
      <c r="G5" s="22" t="n"/>
      <c r="H5" s="22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>
      <c r="A6" s="8" t="inlineStr">
        <is>
          <t>0.2</t>
        </is>
      </c>
      <c r="B6" s="9" t="inlineStr">
        <is>
          <t>Gov.In CMS intake via the MoHFW CIO route</t>
        </is>
      </c>
      <c r="C6" s="9" t="inlineStr">
        <is>
          <t>0 · Mandate and decisions</t>
        </is>
      </c>
      <c r="D6" s="11" t="n">
        <v>5</v>
      </c>
      <c r="E6" s="10" t="n">
        <v>2</v>
      </c>
      <c r="F6" s="10" t="n">
        <v>10</v>
      </c>
      <c r="G6" s="23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>
      <c r="A7" s="8" t="inlineStr">
        <is>
          <t>0.4</t>
        </is>
      </c>
      <c r="B7" s="9" t="inlineStr">
        <is>
          <t>registry.gov.in control and DNS readiness</t>
        </is>
      </c>
      <c r="C7" s="9" t="inlineStr">
        <is>
          <t>0 · Mandate and decisions</t>
        </is>
      </c>
      <c r="D7" s="11" t="n">
        <v>3.3</v>
      </c>
      <c r="E7" s="10" t="n">
        <v>3</v>
      </c>
      <c r="F7" s="10" t="n">
        <v>6</v>
      </c>
      <c r="G7" s="23" t="n"/>
      <c r="H7" s="23" t="n"/>
      <c r="I7" s="22" t="n"/>
      <c r="J7" s="22" t="n"/>
      <c r="K7" s="22" t="n"/>
      <c r="L7" s="22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>
      <c r="A8" s="8" t="inlineStr">
        <is>
          <t>0.5</t>
        </is>
      </c>
      <c r="B8" s="9" t="inlineStr">
        <is>
          <t>Security-audit route settled in writing</t>
        </is>
      </c>
      <c r="C8" s="9" t="inlineStr">
        <is>
          <t>0 · Mandate and decisions</t>
        </is>
      </c>
      <c r="D8" s="11" t="n">
        <v>3.3</v>
      </c>
      <c r="E8" s="10" t="n">
        <v>4</v>
      </c>
      <c r="F8" s="10" t="n">
        <v>8</v>
      </c>
      <c r="G8" s="23" t="n"/>
      <c r="H8" s="23" t="n"/>
      <c r="I8" s="23" t="n"/>
      <c r="J8" s="22" t="n"/>
      <c r="K8" s="22" t="n"/>
      <c r="L8" s="22" t="n"/>
      <c r="M8" s="22" t="n"/>
      <c r="N8" s="22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>
      <c r="A9" s="8" t="inlineStr">
        <is>
          <t>0.6</t>
        </is>
      </c>
      <c r="B9" s="9" t="inlineStr">
        <is>
          <t>Redirect-capability determination (pivotal)</t>
        </is>
      </c>
      <c r="C9" s="9" t="inlineStr">
        <is>
          <t>0 · Mandate and decisions</t>
        </is>
      </c>
      <c r="D9" s="11" t="n">
        <v>5.3</v>
      </c>
      <c r="E9" s="10" t="n">
        <v>2</v>
      </c>
      <c r="F9" s="10" t="n">
        <v>6</v>
      </c>
      <c r="G9" s="23" t="n"/>
      <c r="H9" s="22" t="n"/>
      <c r="I9" s="22" t="n"/>
      <c r="J9" s="22" t="n"/>
      <c r="K9" s="22" t="n"/>
      <c r="L9" s="22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>
      <c r="A10" s="8" t="inlineStr">
        <is>
          <t>1.1</t>
        </is>
      </c>
      <c r="B10" s="9" t="inlineStr">
        <is>
          <t>Real HTTP 404: error-document status, not a 302 to a 200 page</t>
        </is>
      </c>
      <c r="C10" s="9" t="inlineStr">
        <is>
          <t>1 · Emergency remediation</t>
        </is>
      </c>
      <c r="D10" s="11" t="n">
        <v>5.2</v>
      </c>
      <c r="E10" s="10" t="n">
        <v>2</v>
      </c>
      <c r="F10" s="10" t="n">
        <v>5</v>
      </c>
      <c r="G10" s="23" t="n"/>
      <c r="H10" s="24" t="n"/>
      <c r="I10" s="24" t="n"/>
      <c r="J10" s="24" t="n"/>
      <c r="K10" s="24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>
      <c r="A11" s="8" t="inlineStr">
        <is>
          <t>1.2</t>
        </is>
      </c>
      <c r="B11" s="9" t="inlineStr">
        <is>
          <t>Charset: header says iso-8859-1 over 389 Hindi pages; header wins</t>
        </is>
      </c>
      <c r="C11" s="9" t="inlineStr">
        <is>
          <t>1 · Emergency remediation</t>
        </is>
      </c>
      <c r="D11" s="11" t="n">
        <v>6.8</v>
      </c>
      <c r="E11" s="10" t="n">
        <v>2</v>
      </c>
      <c r="F11" s="10" t="n">
        <v>6</v>
      </c>
      <c r="G11" s="23" t="n"/>
      <c r="H11" s="24" t="n"/>
      <c r="I11" s="24" t="n"/>
      <c r="J11" s="24" t="n"/>
      <c r="K11" s="24" t="n"/>
      <c r="L11" s="24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>
      <c r="A12" s="8" t="inlineStr">
        <is>
          <t>1.6</t>
        </is>
      </c>
      <c r="B12" s="9" t="inlineStr">
        <is>
          <t>robots.txt and a stopgap sitemap</t>
        </is>
      </c>
      <c r="C12" s="9" t="inlineStr">
        <is>
          <t>1 · Emergency remediation</t>
        </is>
      </c>
      <c r="D12" s="11" t="n">
        <v>1.6</v>
      </c>
      <c r="E12" s="10" t="n">
        <v>5</v>
      </c>
      <c r="F12" s="10" t="n">
        <v>6</v>
      </c>
      <c r="G12" s="23" t="n"/>
      <c r="H12" s="23" t="n"/>
      <c r="I12" s="23" t="n"/>
      <c r="J12" s="23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>
      <c r="A13" s="8" t="inlineStr">
        <is>
          <t>1.8</t>
        </is>
      </c>
      <c r="B13" s="9" t="inlineStr">
        <is>
          <t>lang="hi" across 389 Hindi pages; close the joomla.xml version disclosure</t>
        </is>
      </c>
      <c r="C13" s="9" t="inlineStr">
        <is>
          <t>1 · Emergency remediation</t>
        </is>
      </c>
      <c r="D13" s="11" t="n">
        <v>3.5</v>
      </c>
      <c r="E13" s="10" t="n">
        <v>4</v>
      </c>
      <c r="F13" s="10" t="n">
        <v>7</v>
      </c>
      <c r="G13" s="23" t="n"/>
      <c r="H13" s="23" t="n"/>
      <c r="I13" s="23" t="n"/>
      <c r="J13" s="24" t="n"/>
      <c r="K13" s="24" t="n"/>
      <c r="L13" s="24" t="n"/>
      <c r="M13" s="24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>
      <c r="A14" s="8" t="inlineStr">
        <is>
          <t>2.1</t>
        </is>
      </c>
      <c r="B14" s="9" t="inlineStr">
        <is>
          <t>Joomla database extraction and reconciliation</t>
        </is>
      </c>
      <c r="C14" s="9" t="inlineStr">
        <is>
          <t>2 · Inventory and redirect map</t>
        </is>
      </c>
      <c r="D14" s="11" t="n">
        <v>7.1</v>
      </c>
      <c r="E14" s="10" t="n">
        <v>2</v>
      </c>
      <c r="F14" s="10" t="n">
        <v>6</v>
      </c>
      <c r="G14" s="23" t="n"/>
      <c r="H14" s="25" t="n"/>
      <c r="I14" s="25" t="n"/>
      <c r="J14" s="25" t="n"/>
      <c r="K14" s="25" t="n"/>
      <c r="L14" s="25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>
      <c r="A15" s="8" t="inlineStr">
        <is>
          <t>2.2</t>
        </is>
      </c>
      <c r="B15" s="9" t="inlineStr">
        <is>
          <t>Live crawl with the two-signal validator</t>
        </is>
      </c>
      <c r="C15" s="9" t="inlineStr">
        <is>
          <t>2 · Inventory and redirect map</t>
        </is>
      </c>
      <c r="D15" s="11" t="n">
        <v>6.8</v>
      </c>
      <c r="E15" s="10" t="n">
        <v>2</v>
      </c>
      <c r="F15" s="10" t="n">
        <v>5</v>
      </c>
      <c r="G15" s="23" t="n"/>
      <c r="H15" s="25" t="n"/>
      <c r="I15" s="25" t="n"/>
      <c r="J15" s="25" t="n"/>
      <c r="K15" s="25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>
      <c r="A16" s="8" t="inlineStr">
        <is>
          <t>2.4</t>
        </is>
      </c>
      <c r="B16" s="9" t="inlineStr">
        <is>
          <t>Search Console traffic overlay</t>
        </is>
      </c>
      <c r="C16" s="9" t="inlineStr">
        <is>
          <t>2 · Inventory and redirect map</t>
        </is>
      </c>
      <c r="D16" s="11" t="n">
        <v>3.3</v>
      </c>
      <c r="E16" s="10" t="n">
        <v>5</v>
      </c>
      <c r="F16" s="10" t="n">
        <v>8</v>
      </c>
      <c r="G16" s="23" t="n"/>
      <c r="H16" s="23" t="n"/>
      <c r="I16" s="23" t="n"/>
      <c r="J16" s="23" t="n"/>
      <c r="K16" s="25" t="n"/>
      <c r="L16" s="25" t="n"/>
      <c r="M16" s="25" t="n"/>
      <c r="N16" s="25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>
      <c r="A17" s="8" t="inlineStr">
        <is>
          <t>2.5</t>
        </is>
      </c>
      <c r="B17" s="9" t="inlineStr">
        <is>
          <t>Union of four sources into one authoritative register</t>
        </is>
      </c>
      <c r="C17" s="9" t="inlineStr">
        <is>
          <t>2 · Inventory and redirect map</t>
        </is>
      </c>
      <c r="D17" s="11" t="n">
        <v>5.3</v>
      </c>
      <c r="E17" s="10" t="n">
        <v>7</v>
      </c>
      <c r="F17" s="10" t="n">
        <v>9</v>
      </c>
      <c r="G17" s="23" t="n"/>
      <c r="H17" s="23" t="n"/>
      <c r="I17" s="23" t="n"/>
      <c r="J17" s="23" t="n"/>
      <c r="K17" s="23" t="n"/>
      <c r="L17" s="23" t="n"/>
      <c r="M17" s="25" t="n"/>
      <c r="N17" s="25" t="n"/>
      <c r="O17" s="25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>
      <c r="A18" s="8" t="inlineStr">
        <is>
          <t>2.6</t>
        </is>
      </c>
      <c r="B18" s="9" t="inlineStr">
        <is>
          <t>Triage facilitation — keep / archive / retire</t>
        </is>
      </c>
      <c r="C18" s="9" t="inlineStr">
        <is>
          <t>2 · Inventory and redirect map</t>
        </is>
      </c>
      <c r="D18" s="11" t="n">
        <v>8.300000000000001</v>
      </c>
      <c r="E18" s="10" t="n">
        <v>8</v>
      </c>
      <c r="F18" s="10" t="n">
        <v>16</v>
      </c>
      <c r="G18" s="23" t="n"/>
      <c r="H18" s="23" t="n"/>
      <c r="I18" s="23" t="n"/>
      <c r="J18" s="23" t="n"/>
      <c r="K18" s="23" t="n"/>
      <c r="L18" s="23" t="n"/>
      <c r="M18" s="23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3" t="n"/>
      <c r="X18" s="23" t="n"/>
      <c r="Y18" s="23" t="n"/>
      <c r="Z18" s="23" t="n"/>
    </row>
    <row r="19">
      <c r="A19" s="8" t="inlineStr">
        <is>
          <t>2.7</t>
        </is>
      </c>
      <c r="B19" s="9" t="inlineStr">
        <is>
          <t>PDF estate inventory and disposition (~2,758 documents)</t>
        </is>
      </c>
      <c r="C19" s="9" t="inlineStr">
        <is>
          <t>2 · Inventory and redirect map</t>
        </is>
      </c>
      <c r="D19" s="11" t="n">
        <v>6.8</v>
      </c>
      <c r="E19" s="10" t="n">
        <v>9</v>
      </c>
      <c r="F19" s="10" t="n">
        <v>15</v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5" t="n"/>
      <c r="P19" s="25" t="n"/>
      <c r="Q19" s="25" t="n"/>
      <c r="R19" s="25" t="n"/>
      <c r="S19" s="25" t="n"/>
      <c r="T19" s="25" t="n"/>
      <c r="U19" s="25" t="n"/>
      <c r="V19" s="23" t="n"/>
      <c r="W19" s="23" t="n"/>
      <c r="X19" s="23" t="n"/>
      <c r="Y19" s="23" t="n"/>
      <c r="Z19" s="23" t="n"/>
    </row>
    <row r="20">
      <c r="A20" s="8" t="inlineStr">
        <is>
          <t>2.8</t>
        </is>
      </c>
      <c r="B20" s="9" t="inlineStr">
        <is>
          <t>Redirect map — ~1,727 distinct source paths; rows exceed paths</t>
        </is>
      </c>
      <c r="C20" s="9" t="inlineStr">
        <is>
          <t>2 · Inventory and redirect map</t>
        </is>
      </c>
      <c r="D20" s="11" t="n">
        <v>10.1</v>
      </c>
      <c r="E20" s="10" t="n">
        <v>11</v>
      </c>
      <c r="F20" s="10" t="n">
        <v>17</v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5" t="n"/>
      <c r="R20" s="25" t="n"/>
      <c r="S20" s="25" t="n"/>
      <c r="T20" s="25" t="n"/>
      <c r="U20" s="25" t="n"/>
      <c r="V20" s="25" t="n"/>
      <c r="W20" s="25" t="n"/>
      <c r="X20" s="23" t="n"/>
      <c r="Y20" s="23" t="n"/>
      <c r="Z20" s="23" t="n"/>
    </row>
    <row r="21">
      <c r="A21" s="8" t="inlineStr">
        <is>
          <t>2.9</t>
        </is>
      </c>
      <c r="B21" s="9" t="inlineStr">
        <is>
          <t>Hindi pairing by hreflang; bilingual gap quantified</t>
        </is>
      </c>
      <c r="C21" s="9" t="inlineStr">
        <is>
          <t>2 · Inventory and redirect map</t>
        </is>
      </c>
      <c r="D21" s="11" t="n">
        <v>5.3</v>
      </c>
      <c r="E21" s="10" t="n">
        <v>8</v>
      </c>
      <c r="F21" s="10" t="n">
        <v>11</v>
      </c>
      <c r="G21" s="23" t="n"/>
      <c r="H21" s="23" t="n"/>
      <c r="I21" s="23" t="n"/>
      <c r="J21" s="23" t="n"/>
      <c r="K21" s="23" t="n"/>
      <c r="L21" s="23" t="n"/>
      <c r="M21" s="23" t="n"/>
      <c r="N21" s="25" t="n"/>
      <c r="O21" s="25" t="n"/>
      <c r="P21" s="25" t="n"/>
      <c r="Q21" s="25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>
      <c r="A22" s="8" t="inlineStr">
        <is>
          <t>P.1a</t>
        </is>
      </c>
      <c r="B22" s="9" t="inlineStr">
        <is>
          <t>Programme and delivery management — Stage 1</t>
        </is>
      </c>
      <c r="C22" s="9" t="inlineStr">
        <is>
          <t>P · Programme management</t>
        </is>
      </c>
      <c r="D22" s="11" t="n">
        <v>14.9</v>
      </c>
      <c r="E22" s="10" t="n">
        <v>1</v>
      </c>
      <c r="F22" s="10" t="n">
        <v>20</v>
      </c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8" t="inlineStr">
        <is>
          <t>P.2a</t>
        </is>
      </c>
      <c r="B23" s="9" t="inlineStr">
        <is>
          <t>Business analysis and content governance — Stage 1</t>
        </is>
      </c>
      <c r="C23" s="9" t="inlineStr">
        <is>
          <t>P · Programme management</t>
        </is>
      </c>
      <c r="D23" s="11" t="n">
        <v>8.300000000000001</v>
      </c>
      <c r="E23" s="10" t="n">
        <v>2</v>
      </c>
      <c r="F23" s="10" t="n">
        <v>18</v>
      </c>
      <c r="G23" s="23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3" t="n"/>
      <c r="Z23" s="23" t="n"/>
    </row>
    <row r="24">
      <c r="A24" s="8" t="inlineStr">
        <is>
          <t>P.3a</t>
        </is>
      </c>
      <c r="B24" s="9" t="inlineStr">
        <is>
          <t>Documentation, SOPs and the Stage 2 cost baseline</t>
        </is>
      </c>
      <c r="C24" s="9" t="inlineStr">
        <is>
          <t>P · Programme management</t>
        </is>
      </c>
      <c r="D24" s="11" t="n">
        <v>6.8</v>
      </c>
      <c r="E24" s="10" t="n">
        <v>15</v>
      </c>
      <c r="F24" s="10" t="n">
        <v>20</v>
      </c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6" t="n"/>
      <c r="V24" s="26" t="n"/>
      <c r="W24" s="26" t="n"/>
      <c r="X24" s="26" t="n"/>
      <c r="Y24" s="26" t="n"/>
      <c r="Z24" s="26" t="n"/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42" customWidth="1" min="3" max="3"/>
    <col width="8" customWidth="1" min="4" max="4"/>
    <col width="17" customWidth="1" min="5" max="5"/>
    <col width="20" customWidth="1" min="6" max="6"/>
    <col width="21" customWidth="1" min="7" max="7"/>
  </cols>
  <sheetData>
    <row r="1" ht="22" customHeight="1">
      <c r="A1" s="1" t="inlineStr">
        <is>
          <t>Milestones and payment schedule</t>
        </is>
      </c>
    </row>
    <row r="2" ht="28" customHeight="1">
      <c r="A2" s="2" t="inlineStr">
        <is>
          <t>Contract value INR 1,694,915 ex-GST, INR 2,000,000 inclusive. Every milestone is paid against a checkable exit criterion, not a date.</t>
        </is>
      </c>
    </row>
    <row r="4" ht="30" customHeight="1">
      <c r="A4" s="7" t="inlineStr">
        <is>
          <t>Ref</t>
        </is>
      </c>
      <c r="B4" s="7" t="inlineStr">
        <is>
          <t>Week</t>
        </is>
      </c>
      <c r="C4" s="7" t="inlineStr">
        <is>
          <t>Milestone</t>
        </is>
      </c>
      <c r="D4" s="7" t="inlineStr">
        <is>
          <t>Share</t>
        </is>
      </c>
      <c r="E4" s="7" t="inlineStr">
        <is>
          <t>Ex-GST (INR)</t>
        </is>
      </c>
      <c r="F4" s="7" t="inlineStr">
        <is>
          <t>Payable inc-GST (INR)</t>
        </is>
      </c>
      <c r="G4" s="7" t="inlineStr">
        <is>
          <t>Cumulative ex-GST (INR)</t>
        </is>
      </c>
    </row>
    <row r="5">
      <c r="A5" s="27" t="inlineStr">
        <is>
          <t>A1</t>
        </is>
      </c>
      <c r="B5" s="28" t="n">
        <v>2</v>
      </c>
      <c r="C5" s="29" t="inlineStr">
        <is>
          <t>Mobilisation and inception report</t>
        </is>
      </c>
      <c r="D5" s="30" t="n">
        <v>0.1</v>
      </c>
      <c r="E5" s="31" t="n">
        <v>169491.5254237288</v>
      </c>
      <c r="F5" s="31" t="n">
        <v>200000</v>
      </c>
      <c r="G5" s="31" t="n">
        <v>169491.5254237288</v>
      </c>
    </row>
    <row r="6">
      <c r="A6" s="27" t="inlineStr">
        <is>
          <t>A2</t>
        </is>
      </c>
      <c r="B6" s="28" t="n">
        <v>7</v>
      </c>
      <c r="C6" s="29" t="inlineStr">
        <is>
          <t>Live site remediated</t>
        </is>
      </c>
      <c r="D6" s="30" t="n">
        <v>0.25</v>
      </c>
      <c r="E6" s="31" t="n">
        <v>423728.813559322</v>
      </c>
      <c r="F6" s="31" t="n">
        <v>500000</v>
      </c>
      <c r="G6" s="31" t="n">
        <v>593220.3389830509</v>
      </c>
    </row>
    <row r="7">
      <c r="A7" s="27" t="inlineStr">
        <is>
          <t>A3</t>
        </is>
      </c>
      <c r="B7" s="28" t="n">
        <v>11</v>
      </c>
      <c r="C7" s="29" t="inlineStr">
        <is>
          <t>Platform and audit decision note</t>
        </is>
      </c>
      <c r="D7" s="30" t="n">
        <v>0.15</v>
      </c>
      <c r="E7" s="31" t="n">
        <v>254237.2881355932</v>
      </c>
      <c r="F7" s="31" t="n">
        <v>299999.9999999999</v>
      </c>
      <c r="G7" s="31" t="n">
        <v>847457.6271186441</v>
      </c>
    </row>
    <row r="8">
      <c r="A8" s="27" t="inlineStr">
        <is>
          <t>A4</t>
        </is>
      </c>
      <c r="B8" s="28" t="n">
        <v>16</v>
      </c>
      <c r="C8" s="29" t="inlineStr">
        <is>
          <t>Authoritative URL register</t>
        </is>
      </c>
      <c r="D8" s="30" t="n">
        <v>0.3</v>
      </c>
      <c r="E8" s="31" t="n">
        <v>508474.5762711864</v>
      </c>
      <c r="F8" s="31" t="n">
        <v>599999.9999999999</v>
      </c>
      <c r="G8" s="31" t="n">
        <v>1355932.20338983</v>
      </c>
    </row>
    <row r="9">
      <c r="A9" s="27" t="inlineStr">
        <is>
          <t>A5</t>
        </is>
      </c>
      <c r="B9" s="28" t="n">
        <v>20</v>
      </c>
      <c r="C9" s="29" t="inlineStr">
        <is>
          <t>Pattern redirect map and handover</t>
        </is>
      </c>
      <c r="D9" s="30" t="n">
        <v>0.2</v>
      </c>
      <c r="E9" s="31" t="n">
        <v>338983.0508474577</v>
      </c>
      <c r="F9" s="31" t="n">
        <v>400000</v>
      </c>
      <c r="G9" s="31" t="n">
        <v>1694915.254237288</v>
      </c>
    </row>
    <row r="10">
      <c r="A10" s="19" t="inlineStr"/>
      <c r="B10" s="19" t="inlineStr"/>
      <c r="C10" s="19" t="inlineStr">
        <is>
          <t>TOTAL</t>
        </is>
      </c>
      <c r="D10" s="32" t="n">
        <v>1</v>
      </c>
      <c r="E10" s="33" t="n">
        <v>1694915.254237288</v>
      </c>
      <c r="F10" s="33" t="n">
        <v>2000000</v>
      </c>
      <c r="G10" s="33" t="inlineStr"/>
    </row>
    <row r="13">
      <c r="A13" s="34" t="inlineStr">
        <is>
          <t>EXIT CRITERIA — what must be true before each invoice is raised</t>
        </is>
      </c>
    </row>
    <row r="15">
      <c r="A15" s="19" t="inlineStr">
        <is>
          <t>A1 · Week 2 · Mobilisation and inception report</t>
        </is>
      </c>
    </row>
    <row r="16" ht="42" customHeight="1">
      <c r="A16" s="35" t="inlineStr">
        <is>
          <t>Exit criterion</t>
        </is>
      </c>
      <c r="B16" s="36" t="inlineStr">
        <is>
          <t>Team named. Inception report accepted: scope, RACI, access list, and the written re-statement of the objective as adopting DBIM and the Gov.In CMS Platform rather than moving to india.gov.in. Claude Max 20x provisioned to the named analyst.</t>
        </is>
      </c>
    </row>
    <row r="17" ht="14" customHeight="1">
      <c r="A17" s="35" t="inlineStr">
        <is>
          <t>Evidence</t>
        </is>
      </c>
      <c r="B17" s="36" t="inlineStr">
        <is>
          <t>Signed inception report; access requests lodged for the Joomla database, Search Console and registry.gov.in.</t>
        </is>
      </c>
    </row>
    <row r="19">
      <c r="A19" s="19" t="inlineStr">
        <is>
          <t>A2 · Week 7 · Live site remediated</t>
        </is>
      </c>
    </row>
    <row r="20" ht="42" customHeight="1">
      <c r="A20" s="35" t="inlineStr">
        <is>
          <t>Exit criterion</t>
        </is>
      </c>
      <c r="B20" s="36" t="inlineStr">
        <is>
          <t>A missing path returns a genuine HTTP 404 under both a browser and a bare user agent. Header charset is UTF-8 and Devanagari renders. All 389 Hindi pages declare lang="hi". robots.txt published. joomla.xml no longer publicly readable.</t>
        </is>
      </c>
    </row>
    <row r="21" ht="28" customHeight="1">
      <c r="A21" s="35" t="inlineStr">
        <is>
          <t>Evidence</t>
        </is>
      </c>
      <c r="B21" s="36" t="inlineStr">
        <is>
          <t>Automated assertion suite run in front of the client, with before-and-after captures. Every item destination-independent, so none of it is wasted whichever target wins.</t>
        </is>
      </c>
    </row>
    <row r="23">
      <c r="A23" s="19" t="inlineStr">
        <is>
          <t>A3 · Week 11 · Platform and audit decision note</t>
        </is>
      </c>
    </row>
    <row r="24" ht="28" customHeight="1">
      <c r="A24" s="35" t="inlineStr">
        <is>
          <t>Exit criterion</t>
        </is>
      </c>
      <c r="B24" s="36" t="inlineStr">
        <is>
          <t>Written intake position from the MoHFW CIO or a signed decision to take the DBIM-aligned rebuild. Audit route settled in writing. S3WaaS ruled in or out on the record. registry.gov.in control confirmed.</t>
        </is>
      </c>
    </row>
    <row r="25" ht="14" customHeight="1">
      <c r="A25" s="35" t="inlineStr">
        <is>
          <t>Evidence</t>
        </is>
      </c>
      <c r="B25" s="36" t="inlineStr">
        <is>
          <t>Decision note with one signed page per question, each with a named owner and a date.</t>
        </is>
      </c>
    </row>
    <row r="27">
      <c r="A27" s="19" t="inlineStr">
        <is>
          <t>A4 · Week 16 · Authoritative URL register</t>
        </is>
      </c>
    </row>
    <row r="28" ht="42" customHeight="1">
      <c r="A28" s="35" t="inlineStr">
        <is>
          <t>Exit criterion</t>
        </is>
      </c>
      <c r="B28" s="36" t="inlineStr">
        <is>
          <t>One register unioning the Joomla database, a live two-signal crawl and Search Console traffic. Every URL appears exactly once, live-validated, with language tree, template and title. Triage dispositions captured for the traffic-bearing head of the estate.</t>
        </is>
      </c>
    </row>
    <row r="29" ht="28" customHeight="1">
      <c r="A29" s="35" t="inlineStr">
        <is>
          <t>Evidence</t>
        </is>
      </c>
      <c r="B29" s="36" t="inlineStr">
        <is>
          <t>Register delivered as a checked-in dataset with the crawl and validation code that produced it, so IPC can re-run it without the supplier.</t>
        </is>
      </c>
    </row>
    <row r="31">
      <c r="A31" s="19" t="inlineStr">
        <is>
          <t>A5 · Week 20 · Pattern redirect map and handover</t>
        </is>
      </c>
    </row>
    <row r="32" ht="42" customHeight="1">
      <c r="A32" s="35" t="inlineStr">
        <is>
          <t>Exit criterion</t>
        </is>
      </c>
      <c r="B32" s="36" t="inlineStr">
        <is>
          <t>Redirect rules by URL pattern covering the estate, with the traffic-bearing tail decided row by row. Documented gap list naming every path still undecided, so Stage 2 starts from a known position rather than a fresh crawl.</t>
        </is>
      </c>
    </row>
    <row r="33" ht="14" customHeight="1">
      <c r="A33" s="35" t="inlineStr">
        <is>
          <t>Evidence</t>
        </is>
      </c>
      <c r="B33" s="36" t="inlineStr">
        <is>
          <t>Rule set plus a gap register. An automated check that every pattern resolves and no rule shadows another.</t>
        </is>
      </c>
    </row>
  </sheetData>
  <mergeCells count="17">
    <mergeCell ref="B24:G24"/>
    <mergeCell ref="B16:G16"/>
    <mergeCell ref="B20:G20"/>
    <mergeCell ref="A1:G1"/>
    <mergeCell ref="B28:G28"/>
    <mergeCell ref="A27:G27"/>
    <mergeCell ref="A31:G31"/>
    <mergeCell ref="B17:G17"/>
    <mergeCell ref="B32:G32"/>
    <mergeCell ref="A2:G2"/>
    <mergeCell ref="A15:G15"/>
    <mergeCell ref="B21:G21"/>
    <mergeCell ref="A19:G19"/>
    <mergeCell ref="B29:G29"/>
    <mergeCell ref="B33:G33"/>
    <mergeCell ref="B25:G2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 ht="22" customHeight="1">
      <c r="A1" s="1" t="inlineStr">
        <is>
          <t>Cash flow</t>
        </is>
      </c>
    </row>
    <row r="2" ht="28" customHeight="1">
      <c r="A2" s="2" t="inlineStr">
        <is>
          <t>Cost is incurred as effort is spent; cash arrives four weeks after a milestone is certified. The licence is paid monthly from week 1 whatever the billing schedule does.</t>
        </is>
      </c>
    </row>
    <row r="4" ht="30" customHeight="1">
      <c r="A4" s="7" t="inlineStr">
        <is>
          <t>Period</t>
        </is>
      </c>
      <c r="B4" s="7" t="inlineStr">
        <is>
          <t>Weeks</t>
        </is>
      </c>
      <c r="C4" s="7" t="inlineStr">
        <is>
          <t>PD spent</t>
        </is>
      </c>
      <c r="D4" s="7" t="inlineStr">
        <is>
          <t>Cost incurred (INR)</t>
        </is>
      </c>
      <c r="E4" s="7" t="inlineStr">
        <is>
          <t>Billed inc-GST (INR)</t>
        </is>
      </c>
      <c r="F4" s="7" t="inlineStr">
        <is>
          <t>Cash received (INR)</t>
        </is>
      </c>
      <c r="G4" s="7" t="inlineStr">
        <is>
          <t>Cumulative cost (INR)</t>
        </is>
      </c>
      <c r="H4" s="7" t="inlineStr">
        <is>
          <t>Net position (INR)</t>
        </is>
      </c>
    </row>
    <row r="5">
      <c r="A5" s="28" t="inlineStr">
        <is>
          <t>P1</t>
        </is>
      </c>
      <c r="B5" s="28" t="inlineStr">
        <is>
          <t>W1–W4</t>
        </is>
      </c>
      <c r="C5" s="37" t="n">
        <v>34.9</v>
      </c>
      <c r="D5" s="31" t="n">
        <v>456559.7274545733</v>
      </c>
      <c r="E5" s="31" t="n">
        <v>200000</v>
      </c>
      <c r="F5" s="31" t="n">
        <v>0</v>
      </c>
      <c r="G5" s="31" t="n">
        <v>456559.7274545733</v>
      </c>
      <c r="H5" s="38" t="n">
        <v>-456559.7274545733</v>
      </c>
    </row>
    <row r="6">
      <c r="A6" s="28" t="inlineStr">
        <is>
          <t>P2</t>
        </is>
      </c>
      <c r="B6" s="28" t="inlineStr">
        <is>
          <t>W5–W8</t>
        </is>
      </c>
      <c r="C6" s="37" t="n">
        <v>35.5</v>
      </c>
      <c r="D6" s="31" t="n">
        <v>403202.6953601466</v>
      </c>
      <c r="E6" s="31" t="n">
        <v>500000</v>
      </c>
      <c r="F6" s="31" t="n">
        <v>200000</v>
      </c>
      <c r="G6" s="31" t="n">
        <v>859762.4228147198</v>
      </c>
      <c r="H6" s="38" t="n">
        <v>-659762.4228147198</v>
      </c>
    </row>
    <row r="7">
      <c r="A7" s="28" t="inlineStr">
        <is>
          <t>P3</t>
        </is>
      </c>
      <c r="B7" s="28" t="inlineStr">
        <is>
          <t>W9–W12</t>
        </is>
      </c>
      <c r="C7" s="37" t="n">
        <v>22.3</v>
      </c>
      <c r="D7" s="31" t="n">
        <v>260335.4301806871</v>
      </c>
      <c r="E7" s="31" t="n">
        <v>299999.9999999999</v>
      </c>
      <c r="F7" s="31" t="n">
        <v>500000</v>
      </c>
      <c r="G7" s="31" t="n">
        <v>1120097.852995407</v>
      </c>
      <c r="H7" s="38" t="n">
        <v>-420097.8529954068</v>
      </c>
    </row>
    <row r="8">
      <c r="A8" s="28" t="inlineStr">
        <is>
          <t>P4</t>
        </is>
      </c>
      <c r="B8" s="28" t="inlineStr">
        <is>
          <t>W13–W16</t>
        </is>
      </c>
      <c r="C8" s="37" t="n">
        <v>19.6</v>
      </c>
      <c r="D8" s="31" t="n">
        <v>231295.7365651934</v>
      </c>
      <c r="E8" s="31" t="n">
        <v>599999.9999999999</v>
      </c>
      <c r="F8" s="31" t="n">
        <v>299999.9999999999</v>
      </c>
      <c r="G8" s="31" t="n">
        <v>1351393.5895606</v>
      </c>
      <c r="H8" s="38" t="n">
        <v>-351393.5895606002</v>
      </c>
    </row>
    <row r="9">
      <c r="A9" s="28" t="inlineStr">
        <is>
          <t>P5</t>
        </is>
      </c>
      <c r="B9" s="28" t="inlineStr">
        <is>
          <t>W17–W20</t>
        </is>
      </c>
      <c r="C9" s="37" t="n">
        <v>9.9</v>
      </c>
      <c r="D9" s="31" t="n">
        <v>126696.9412180814</v>
      </c>
      <c r="E9" s="31" t="n">
        <v>400000</v>
      </c>
      <c r="F9" s="31" t="n">
        <v>599999.9999999999</v>
      </c>
      <c r="G9" s="31" t="n">
        <v>1478090.530778682</v>
      </c>
      <c r="H9" s="31" t="n">
        <v>121909.4692213184</v>
      </c>
    </row>
    <row r="10">
      <c r="A10" s="28" t="inlineStr">
        <is>
          <t>P6</t>
        </is>
      </c>
      <c r="B10" s="28" t="inlineStr">
        <is>
          <t>W21–W24</t>
        </is>
      </c>
      <c r="C10" s="37" t="n">
        <v>0</v>
      </c>
      <c r="D10" s="31" t="n">
        <v>0</v>
      </c>
      <c r="E10" s="31" t="n">
        <v>0</v>
      </c>
      <c r="F10" s="31" t="n">
        <v>400000</v>
      </c>
      <c r="G10" s="31" t="n">
        <v>1478090.530778682</v>
      </c>
      <c r="H10" s="31" t="n">
        <v>521909.4692213184</v>
      </c>
    </row>
    <row r="12">
      <c r="A12" s="5" t="inlineStr">
        <is>
          <t>Blended rate</t>
        </is>
      </c>
      <c r="D12" s="39" t="n">
        <v>10830.97933884298</v>
      </c>
      <c r="E12" s="40" t="inlineStr">
        <is>
          <t>INR/PD — an output of the role mix, not an input</t>
        </is>
      </c>
    </row>
    <row r="13">
      <c r="A13" s="5" t="inlineStr">
        <is>
          <t>Licence in the cost base</t>
        </is>
      </c>
      <c r="D13" s="39" t="n">
        <v>95000</v>
      </c>
      <c r="E13" s="40" t="inlineStr">
        <is>
          <t>Claude Max 20x, 5 months</t>
        </is>
      </c>
    </row>
    <row r="14">
      <c r="A14" s="5" t="inlineStr">
        <is>
          <t>Peak negative position</t>
        </is>
      </c>
      <c r="D14" s="41" t="n">
        <v>-659762.4228147198</v>
      </c>
      <c r="E14" s="40" t="inlineStr">
        <is>
          <t>Working capital, not margin</t>
        </is>
      </c>
    </row>
    <row r="15">
      <c r="A15" s="5" t="inlineStr">
        <is>
          <t>Peak as share of contract</t>
        </is>
      </c>
      <c r="D15" s="42" t="n">
        <v>-0.3892598294606847</v>
      </c>
      <c r="E15" s="40" t="inlineStr">
        <is>
          <t>Ask for a mobilisation advance if uncomfortable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9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2" customHeight="1">
      <c r="A1" s="1" t="inlineStr">
        <is>
          <t>Resource plan</t>
        </is>
      </c>
    </row>
    <row r="2" ht="28" customHeight="1">
      <c r="A2" s="2" t="inlineStr">
        <is>
          <t>Person-days by role and four-week period, derived from each package's own role mix. One period = 20 working days.</t>
        </is>
      </c>
    </row>
    <row r="4" ht="30" customHeight="1">
      <c r="A4" s="7" t="inlineStr">
        <is>
          <t>Ref</t>
        </is>
      </c>
      <c r="B4" s="7" t="inlineStr">
        <is>
          <t>Role</t>
        </is>
      </c>
      <c r="C4" s="7" t="inlineStr">
        <is>
          <t>INR/PD</t>
        </is>
      </c>
      <c r="D4" s="7" t="inlineStr">
        <is>
          <t>Total PD</t>
        </is>
      </c>
      <c r="E4" s="7" t="inlineStr">
        <is>
          <t>P1</t>
        </is>
      </c>
      <c r="F4" s="7" t="inlineStr">
        <is>
          <t>P2</t>
        </is>
      </c>
      <c r="G4" s="7" t="inlineStr">
        <is>
          <t>P3</t>
        </is>
      </c>
      <c r="H4" s="7" t="inlineStr">
        <is>
          <t>P4</t>
        </is>
      </c>
      <c r="I4" s="7" t="inlineStr">
        <is>
          <t>P5</t>
        </is>
      </c>
    </row>
    <row r="5">
      <c r="A5" s="8" t="inlineStr">
        <is>
          <t>ME</t>
        </is>
      </c>
      <c r="B5" s="9" t="inlineStr">
        <is>
          <t>Migration Engineer</t>
        </is>
      </c>
      <c r="C5" s="43" t="n">
        <v>8640</v>
      </c>
      <c r="D5" s="44" t="n">
        <v>44.68609488209815</v>
      </c>
      <c r="E5" s="44" t="n">
        <v>16.0351274956052</v>
      </c>
      <c r="F5" s="44" t="n">
        <v>14.71890052689499</v>
      </c>
      <c r="G5" s="44" t="n">
        <v>4.737768078030981</v>
      </c>
      <c r="H5" s="44" t="n">
        <v>6.05742037373824</v>
      </c>
      <c r="I5" s="44" t="n">
        <v>3.136878407828732</v>
      </c>
    </row>
    <row r="6">
      <c r="A6" s="8" t="inlineStr">
        <is>
          <t>BA</t>
        </is>
      </c>
      <c r="B6" s="9" t="inlineStr">
        <is>
          <t>Content Strategist / Business Analyst</t>
        </is>
      </c>
      <c r="C6" s="43" t="n">
        <v>9360</v>
      </c>
      <c r="D6" s="44" t="n">
        <v>35.23399517391077</v>
      </c>
      <c r="E6" s="44" t="n">
        <v>2.741873516230339</v>
      </c>
      <c r="F6" s="44" t="n">
        <v>7.725240014386545</v>
      </c>
      <c r="G6" s="44" t="n">
        <v>11.11378981631464</v>
      </c>
      <c r="H6" s="44" t="n">
        <v>9.824785183212601</v>
      </c>
      <c r="I6" s="44" t="n">
        <v>3.82830664376664</v>
      </c>
    </row>
    <row r="7">
      <c r="A7" s="8" t="inlineStr">
        <is>
          <t>EL</t>
        </is>
      </c>
      <c r="B7" s="9" t="inlineStr">
        <is>
          <t>Engagement Lead / Programme Manager</t>
        </is>
      </c>
      <c r="C7" s="43" t="n">
        <v>15840</v>
      </c>
      <c r="D7" s="44" t="n">
        <v>23.09391517487705</v>
      </c>
      <c r="E7" s="44" t="n">
        <v>7.045116418011672</v>
      </c>
      <c r="F7" s="44" t="n">
        <v>5.07252869074895</v>
      </c>
      <c r="G7" s="44" t="n">
        <v>4.279455319594702</v>
      </c>
      <c r="H7" s="44" t="n">
        <v>3.718583062767087</v>
      </c>
      <c r="I7" s="44" t="n">
        <v>2.978231683754635</v>
      </c>
    </row>
    <row r="8">
      <c r="A8" s="8" t="inlineStr">
        <is>
          <t>SA</t>
        </is>
      </c>
      <c r="B8" s="9" t="inlineStr">
        <is>
          <t>Solution Architect — Gov.In CMS / DBIM</t>
        </is>
      </c>
      <c r="C8" s="43" t="n">
        <v>17280</v>
      </c>
      <c r="D8" s="44" t="n">
        <v>7.723210976516258</v>
      </c>
      <c r="E8" s="44" t="n">
        <v>4.768535927548382</v>
      </c>
      <c r="F8" s="44" t="n">
        <v>2.39380279214026</v>
      </c>
      <c r="G8" s="44" t="n">
        <v>0.5608722568276149</v>
      </c>
      <c r="H8" s="44" t="inlineStr"/>
      <c r="I8" s="44" t="inlineStr"/>
    </row>
    <row r="9">
      <c r="A9" s="8" t="inlineStr">
        <is>
          <t>QA</t>
        </is>
      </c>
      <c r="B9" s="9" t="inlineStr">
        <is>
          <t>QA Engineer</t>
        </is>
      </c>
      <c r="C9" s="43" t="n">
        <v>6840</v>
      </c>
      <c r="D9" s="44" t="n">
        <v>4.278053138952633</v>
      </c>
      <c r="E9" s="44" t="n">
        <v>2.799663978987144</v>
      </c>
      <c r="F9" s="44" t="n">
        <v>1.478389159965489</v>
      </c>
      <c r="G9" s="44" t="inlineStr"/>
      <c r="H9" s="44" t="inlineStr"/>
      <c r="I9" s="44" t="inlineStr"/>
    </row>
    <row r="10">
      <c r="A10" s="8" t="inlineStr">
        <is>
          <t>SE</t>
        </is>
      </c>
      <c r="B10" s="9" t="inlineStr">
        <is>
          <t>Security Engineer</t>
        </is>
      </c>
      <c r="C10" s="43" t="n">
        <v>14400</v>
      </c>
      <c r="D10" s="44" t="n">
        <v>3.609212972685701</v>
      </c>
      <c r="E10" s="44" t="n">
        <v>1.115574918830126</v>
      </c>
      <c r="F10" s="44" t="n">
        <v>2.493638053855575</v>
      </c>
      <c r="G10" s="44" t="inlineStr"/>
      <c r="H10" s="44" t="inlineStr"/>
      <c r="I10" s="44" t="inlineStr"/>
    </row>
    <row r="11">
      <c r="A11" s="8" t="inlineStr">
        <is>
          <t>CO</t>
        </is>
      </c>
      <c r="B11" s="9" t="inlineStr">
        <is>
          <t>Content Operations / Editorial support</t>
        </is>
      </c>
      <c r="C11" s="43" t="n">
        <v>5400</v>
      </c>
      <c r="D11" s="44" t="n">
        <v>2.120097130808384</v>
      </c>
      <c r="E11" s="44" t="inlineStr"/>
      <c r="F11" s="44" t="n">
        <v>0.5300242827020961</v>
      </c>
      <c r="G11" s="44" t="n">
        <v>1.590072848106288</v>
      </c>
      <c r="H11" s="44" t="inlineStr"/>
      <c r="I11" s="44" t="inlineStr"/>
    </row>
    <row r="12">
      <c r="A12" s="8" t="inlineStr">
        <is>
          <t>AX</t>
        </is>
      </c>
      <c r="B12" s="9" t="inlineStr">
        <is>
          <t>Accessibility Specialist</t>
        </is>
      </c>
      <c r="C12" s="43" t="n">
        <v>10800</v>
      </c>
      <c r="D12" s="44" t="n">
        <v>1.41339808720559</v>
      </c>
      <c r="E12" s="44" t="n">
        <v>0.3533495218013974</v>
      </c>
      <c r="F12" s="44" t="n">
        <v>1.060048565404192</v>
      </c>
      <c r="G12" s="44" t="inlineStr"/>
      <c r="H12" s="44" t="inlineStr"/>
      <c r="I12" s="44" t="inlineStr"/>
    </row>
    <row r="13">
      <c r="A13" s="19" t="inlineStr"/>
      <c r="B13" s="19" t="inlineStr">
        <is>
          <t>TOTAL PD</t>
        </is>
      </c>
      <c r="C13" s="19" t="inlineStr"/>
      <c r="D13" s="20" t="n">
        <v>122.1579775370545</v>
      </c>
      <c r="E13" s="20" t="n">
        <v>34.85924177701425</v>
      </c>
      <c r="F13" s="20" t="n">
        <v>35.4725720860981</v>
      </c>
      <c r="G13" s="20" t="n">
        <v>22.28195831887423</v>
      </c>
      <c r="H13" s="20" t="n">
        <v>19.60078861971793</v>
      </c>
      <c r="I13" s="20" t="n">
        <v>9.943416735350006</v>
      </c>
    </row>
    <row r="14">
      <c r="A14" s="19" t="inlineStr"/>
      <c r="B14" s="19" t="inlineStr">
        <is>
          <t>FTE</t>
        </is>
      </c>
      <c r="C14" s="19" t="inlineStr"/>
      <c r="D14" s="19" t="inlineStr"/>
      <c r="E14" s="45" t="n">
        <v>1.742962088850713</v>
      </c>
      <c r="F14" s="45" t="n">
        <v>1.773628604304905</v>
      </c>
      <c r="G14" s="45" t="n">
        <v>1.114097915943711</v>
      </c>
      <c r="H14" s="45" t="n">
        <v>0.9800394309858964</v>
      </c>
      <c r="I14" s="45" t="n">
        <v>0.4971708367675003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 ht="22" customHeight="1">
      <c r="A1" s="1" t="inlineStr">
        <is>
          <t>Charts</t>
        </is>
      </c>
    </row>
    <row r="2" ht="28" customHeight="1">
      <c r="A2" s="2" t="inlineStr">
        <is>
          <t>Live Excel charts driven by the data block in column T. A Gantt here is a stacked bar whose first series is invisible and carries the start week.</t>
        </is>
      </c>
    </row>
    <row r="4">
      <c r="T4" s="46" t="inlineStr">
        <is>
          <t>Item</t>
        </is>
      </c>
      <c r="U4" s="46" t="inlineStr">
        <is>
          <t>Start-1</t>
        </is>
      </c>
      <c r="V4" s="46" t="inlineStr">
        <is>
          <t>Duration</t>
        </is>
      </c>
    </row>
    <row r="5">
      <c r="T5" s="47" t="inlineStr">
        <is>
          <t xml:space="preserve">0.1 Correct the brief; re-issue the objective </t>
        </is>
      </c>
      <c r="U5" s="47" t="n">
        <v>0</v>
      </c>
      <c r="V5" s="47" t="n">
        <v>2</v>
      </c>
    </row>
    <row r="6">
      <c r="T6" s="47" t="inlineStr">
        <is>
          <t xml:space="preserve">P.1a Programme and delivery management — Stage </t>
        </is>
      </c>
      <c r="U6" s="47" t="n">
        <v>0</v>
      </c>
      <c r="V6" s="47" t="n">
        <v>20</v>
      </c>
    </row>
    <row r="7">
      <c r="T7" s="47" t="inlineStr">
        <is>
          <t>0.2 Gov.In CMS intake via the MoHFW CIO route</t>
        </is>
      </c>
      <c r="U7" s="47" t="n">
        <v>1</v>
      </c>
      <c r="V7" s="47" t="n">
        <v>9</v>
      </c>
    </row>
    <row r="8">
      <c r="T8" s="47" t="inlineStr">
        <is>
          <t>0.6 Redirect-capability determination (pivotal</t>
        </is>
      </c>
      <c r="U8" s="47" t="n">
        <v>1</v>
      </c>
      <c r="V8" s="47" t="n">
        <v>5</v>
      </c>
    </row>
    <row r="9">
      <c r="T9" s="47" t="inlineStr">
        <is>
          <t xml:space="preserve">1.1 Real HTTP 404: error-document status, not </t>
        </is>
      </c>
      <c r="U9" s="47" t="n">
        <v>1</v>
      </c>
      <c r="V9" s="47" t="n">
        <v>4</v>
      </c>
    </row>
    <row r="10">
      <c r="T10" s="47" t="inlineStr">
        <is>
          <t>1.2 Charset: header says iso-8859-1 over 389 H</t>
        </is>
      </c>
      <c r="U10" s="47" t="n">
        <v>1</v>
      </c>
      <c r="V10" s="47" t="n">
        <v>5</v>
      </c>
    </row>
    <row r="11">
      <c r="T11" s="47" t="inlineStr">
        <is>
          <t>2.1 Joomla database extraction and reconciliat</t>
        </is>
      </c>
      <c r="U11" s="47" t="n">
        <v>1</v>
      </c>
      <c r="V11" s="47" t="n">
        <v>5</v>
      </c>
    </row>
    <row r="12">
      <c r="T12" s="47" t="inlineStr">
        <is>
          <t>2.2 Live crawl with the two-signal validator</t>
        </is>
      </c>
      <c r="U12" s="47" t="n">
        <v>1</v>
      </c>
      <c r="V12" s="47" t="n">
        <v>4</v>
      </c>
    </row>
    <row r="13">
      <c r="T13" s="47" t="inlineStr">
        <is>
          <t>P.2a Business analysis and content governance —</t>
        </is>
      </c>
      <c r="U13" s="47" t="n">
        <v>1</v>
      </c>
      <c r="V13" s="47" t="n">
        <v>17</v>
      </c>
    </row>
    <row r="14">
      <c r="T14" s="47" t="inlineStr">
        <is>
          <t>0.4 registry.gov.in control and DNS readiness</t>
        </is>
      </c>
      <c r="U14" s="47" t="n">
        <v>2</v>
      </c>
      <c r="V14" s="47" t="n">
        <v>4</v>
      </c>
    </row>
    <row r="15">
      <c r="T15" s="47" t="inlineStr">
        <is>
          <t>0.5 Security-audit route settled in writing</t>
        </is>
      </c>
      <c r="U15" s="47" t="n">
        <v>3</v>
      </c>
      <c r="V15" s="47" t="n">
        <v>5</v>
      </c>
    </row>
    <row r="16">
      <c r="T16" s="47" t="inlineStr">
        <is>
          <t>1.8 lang="hi" across 389 Hindi pages; close th</t>
        </is>
      </c>
      <c r="U16" s="47" t="n">
        <v>3</v>
      </c>
      <c r="V16" s="47" t="n">
        <v>4</v>
      </c>
    </row>
    <row r="17">
      <c r="T17" s="47" t="inlineStr">
        <is>
          <t>1.6 robots.txt and a stopgap sitemap</t>
        </is>
      </c>
      <c r="U17" s="47" t="n">
        <v>4</v>
      </c>
      <c r="V17" s="47" t="n">
        <v>2</v>
      </c>
    </row>
    <row r="18">
      <c r="T18" s="47" t="inlineStr">
        <is>
          <t>2.4 Search Console traffic overlay</t>
        </is>
      </c>
      <c r="U18" s="47" t="n">
        <v>4</v>
      </c>
      <c r="V18" s="47" t="n">
        <v>4</v>
      </c>
    </row>
    <row r="19">
      <c r="T19" s="47" t="inlineStr">
        <is>
          <t>2.5 Union of four sources into one authoritati</t>
        </is>
      </c>
      <c r="U19" s="47" t="n">
        <v>6</v>
      </c>
      <c r="V19" s="47" t="n">
        <v>3</v>
      </c>
    </row>
    <row r="20">
      <c r="T20" s="47" t="inlineStr">
        <is>
          <t>2.6 Triage facilitation — keep / archive / ret</t>
        </is>
      </c>
      <c r="U20" s="47" t="n">
        <v>7</v>
      </c>
      <c r="V20" s="47" t="n">
        <v>9</v>
      </c>
    </row>
    <row r="21">
      <c r="T21" s="47" t="inlineStr">
        <is>
          <t>2.9 Hindi pairing by hreflang; bilingual gap q</t>
        </is>
      </c>
      <c r="U21" s="47" t="n">
        <v>7</v>
      </c>
      <c r="V21" s="47" t="n">
        <v>4</v>
      </c>
    </row>
    <row r="22">
      <c r="T22" s="47" t="inlineStr">
        <is>
          <t>2.7 PDF estate inventory and disposition (~2,7</t>
        </is>
      </c>
      <c r="U22" s="47" t="n">
        <v>8</v>
      </c>
      <c r="V22" s="47" t="n">
        <v>7</v>
      </c>
    </row>
    <row r="23">
      <c r="T23" s="47" t="inlineStr">
        <is>
          <t>2.8 Redirect map — ~1,727 distinct source path</t>
        </is>
      </c>
      <c r="U23" s="47" t="n">
        <v>10</v>
      </c>
      <c r="V23" s="47" t="n">
        <v>7</v>
      </c>
    </row>
    <row r="24">
      <c r="T24" s="47" t="inlineStr">
        <is>
          <t>P.3a Documentation, SOPs and the Stage 2 cost b</t>
        </is>
      </c>
      <c r="U24" s="47" t="n">
        <v>14</v>
      </c>
      <c r="V24" s="47" t="n">
        <v>6</v>
      </c>
    </row>
    <row r="27">
      <c r="T27" s="46" t="inlineStr">
        <is>
          <t>Role</t>
        </is>
      </c>
      <c r="U27" s="46" t="inlineStr">
        <is>
          <t>P1</t>
        </is>
      </c>
      <c r="V27" s="46" t="inlineStr">
        <is>
          <t>P2</t>
        </is>
      </c>
      <c r="W27" s="46" t="inlineStr">
        <is>
          <t>P3</t>
        </is>
      </c>
      <c r="X27" s="46" t="inlineStr">
        <is>
          <t>P4</t>
        </is>
      </c>
      <c r="Y27" s="46" t="inlineStr">
        <is>
          <t>P5</t>
        </is>
      </c>
    </row>
    <row r="28">
      <c r="T28" s="47" t="inlineStr">
        <is>
          <t>Migration Engineer</t>
        </is>
      </c>
      <c r="U28" s="47" t="n">
        <v>16.04</v>
      </c>
      <c r="V28" s="47" t="n">
        <v>14.72</v>
      </c>
      <c r="W28" s="47" t="n">
        <v>4.74</v>
      </c>
      <c r="X28" s="47" t="n">
        <v>6.06</v>
      </c>
      <c r="Y28" s="47" t="n">
        <v>3.14</v>
      </c>
    </row>
    <row r="29">
      <c r="T29" s="47" t="inlineStr">
        <is>
          <t>Content Strategist / Business Analyst</t>
        </is>
      </c>
      <c r="U29" s="47" t="n">
        <v>2.74</v>
      </c>
      <c r="V29" s="47" t="n">
        <v>7.73</v>
      </c>
      <c r="W29" s="47" t="n">
        <v>11.11</v>
      </c>
      <c r="X29" s="47" t="n">
        <v>9.82</v>
      </c>
      <c r="Y29" s="47" t="n">
        <v>3.83</v>
      </c>
    </row>
    <row r="30">
      <c r="T30" s="47" t="inlineStr">
        <is>
          <t>Engagement Lead / Programme Manager</t>
        </is>
      </c>
      <c r="U30" s="47" t="n">
        <v>7.05</v>
      </c>
      <c r="V30" s="47" t="n">
        <v>5.07</v>
      </c>
      <c r="W30" s="47" t="n">
        <v>4.28</v>
      </c>
      <c r="X30" s="47" t="n">
        <v>3.72</v>
      </c>
      <c r="Y30" s="47" t="n">
        <v>2.98</v>
      </c>
    </row>
    <row r="31">
      <c r="T31" s="47" t="inlineStr">
        <is>
          <t>Solution Architect — Gov.In CMS / DBIM</t>
        </is>
      </c>
      <c r="U31" s="47" t="n">
        <v>4.77</v>
      </c>
      <c r="V31" s="47" t="n">
        <v>2.39</v>
      </c>
      <c r="W31" s="47" t="n">
        <v>0.5600000000000001</v>
      </c>
      <c r="X31" s="47" t="n">
        <v>0</v>
      </c>
      <c r="Y31" s="47" t="n">
        <v>0</v>
      </c>
    </row>
    <row r="32">
      <c r="T32" s="47" t="inlineStr">
        <is>
          <t>QA Engineer</t>
        </is>
      </c>
      <c r="U32" s="47" t="n">
        <v>2.8</v>
      </c>
      <c r="V32" s="47" t="n">
        <v>1.48</v>
      </c>
      <c r="W32" s="47" t="n">
        <v>0</v>
      </c>
      <c r="X32" s="47" t="n">
        <v>0</v>
      </c>
      <c r="Y32" s="47" t="n">
        <v>0</v>
      </c>
    </row>
    <row r="33">
      <c r="T33" s="47" t="inlineStr">
        <is>
          <t>Security Engineer</t>
        </is>
      </c>
      <c r="U33" s="47" t="n">
        <v>1.12</v>
      </c>
      <c r="V33" s="47" t="n">
        <v>2.49</v>
      </c>
      <c r="W33" s="47" t="n">
        <v>0</v>
      </c>
      <c r="X33" s="47" t="n">
        <v>0</v>
      </c>
      <c r="Y33" s="47" t="n">
        <v>0</v>
      </c>
    </row>
    <row r="34">
      <c r="T34" s="47" t="inlineStr">
        <is>
          <t>Content Operations / Editorial support</t>
        </is>
      </c>
      <c r="U34" s="47" t="n">
        <v>0</v>
      </c>
      <c r="V34" s="47" t="n">
        <v>0.53</v>
      </c>
      <c r="W34" s="47" t="n">
        <v>1.59</v>
      </c>
      <c r="X34" s="47" t="n">
        <v>0</v>
      </c>
      <c r="Y34" s="47" t="n">
        <v>0</v>
      </c>
    </row>
    <row r="35">
      <c r="T35" s="47" t="inlineStr">
        <is>
          <t>Accessibility Specialist</t>
        </is>
      </c>
      <c r="U35" s="47" t="n">
        <v>0.35</v>
      </c>
      <c r="V35" s="47" t="n">
        <v>1.06</v>
      </c>
      <c r="W35" s="47" t="n">
        <v>0</v>
      </c>
      <c r="X35" s="47" t="n">
        <v>0</v>
      </c>
      <c r="Y35" s="47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6" customWidth="1" min="4" max="4"/>
    <col width="72" customWidth="1" min="5" max="5"/>
  </cols>
  <sheetData>
    <row r="1" ht="22" customHeight="1">
      <c r="A1" s="1" t="inlineStr">
        <is>
          <t>Commercials</t>
        </is>
      </c>
    </row>
    <row r="2" ht="28" customHeight="1">
      <c r="A2" s="2" t="inlineStr">
        <is>
          <t>Price built up from the bottom, so every rupee is traceable. Rates are boutique tier; commercial terms are IPC's own revealed rates from GEM/2026/B/7781379.</t>
        </is>
      </c>
    </row>
    <row r="4">
      <c r="A4" s="34" t="inlineStr">
        <is>
          <t>PRICE BUILD-UP</t>
        </is>
      </c>
    </row>
    <row r="5">
      <c r="A5" s="27" t="inlineStr">
        <is>
          <t>Effort at P80</t>
        </is>
      </c>
      <c r="C5" s="48" t="n">
        <v>122.1579775370545</v>
      </c>
      <c r="E5" s="40" t="inlineStr">
        <is>
          <t>person-days, 20 packages</t>
        </is>
      </c>
    </row>
    <row r="6">
      <c r="A6" s="27" t="inlineStr">
        <is>
          <t>Blended rate</t>
        </is>
      </c>
      <c r="C6" s="49" t="n">
        <v>10830.97933884298</v>
      </c>
      <c r="E6" s="40" t="inlineStr">
        <is>
          <t>INR/PD, boutique tier, output of the role mix</t>
        </is>
      </c>
    </row>
    <row r="7">
      <c r="A7" s="27" t="inlineStr">
        <is>
          <t>Effort cost</t>
        </is>
      </c>
      <c r="C7" s="49" t="n">
        <v>1323090.530778682</v>
      </c>
      <c r="E7" s="40" t="inlineStr"/>
    </row>
    <row r="8">
      <c r="A8" s="27" t="inlineStr">
        <is>
          <t>Claude Max 20x licence</t>
        </is>
      </c>
      <c r="C8" s="49" t="n">
        <v>95000</v>
      </c>
      <c r="E8" s="40" t="inlineStr">
        <is>
          <t>5 months x USD 200 at INR 95/USD</t>
        </is>
      </c>
    </row>
    <row r="9">
      <c r="A9" s="27" t="inlineStr">
        <is>
          <t>Tooling and data</t>
        </is>
      </c>
      <c r="C9" s="49" t="n">
        <v>60000</v>
      </c>
      <c r="E9" s="40" t="inlineStr">
        <is>
          <t>Crawl and validation tooling, commercial traffic data</t>
        </is>
      </c>
    </row>
    <row r="10">
      <c r="A10" s="27" t="inlineStr">
        <is>
          <t>Total cost</t>
        </is>
      </c>
      <c r="C10" s="49" t="n">
        <v>1478090.530778682</v>
      </c>
      <c r="E10" s="40" t="inlineStr"/>
    </row>
    <row r="11">
      <c r="A11" s="27" t="inlineStr">
        <is>
          <t>Margin</t>
        </is>
      </c>
      <c r="C11" s="50" t="n">
        <v>0.1279265868405779</v>
      </c>
      <c r="E11" s="40" t="inlineStr">
        <is>
          <t>Solved so the contract lands exactly on the ceiling</t>
        </is>
      </c>
    </row>
    <row r="12">
      <c r="A12" s="27" t="inlineStr">
        <is>
          <t>Contract value ex-GST</t>
        </is>
      </c>
      <c r="C12" s="49" t="n">
        <v>1694915.254237288</v>
      </c>
      <c r="E12" s="40" t="inlineStr"/>
    </row>
    <row r="13">
      <c r="A13" s="27" t="inlineStr">
        <is>
          <t>GST at 18%</t>
        </is>
      </c>
      <c r="C13" s="49" t="n">
        <v>305084.7457627119</v>
      </c>
      <c r="E13" s="40" t="inlineStr">
        <is>
          <t>Verify whether IPC can claim input credit</t>
        </is>
      </c>
    </row>
    <row r="14">
      <c r="A14" s="51" t="inlineStr">
        <is>
          <t>FINAL COST INC-GST</t>
        </is>
      </c>
      <c r="C14" s="52" t="n">
        <v>2000000</v>
      </c>
      <c r="E14" s="40" t="inlineStr">
        <is>
          <t>The stated ceiling</t>
        </is>
      </c>
    </row>
    <row r="17">
      <c r="A17" s="34" t="inlineStr">
        <is>
          <t>RATE CARD — boutique tier</t>
        </is>
      </c>
    </row>
    <row r="18" ht="30" customHeight="1">
      <c r="A18" s="7" t="inlineStr">
        <is>
          <t>Ref</t>
        </is>
      </c>
      <c r="B18" s="7" t="inlineStr">
        <is>
          <t>Role</t>
        </is>
      </c>
      <c r="C18" s="7" t="inlineStr">
        <is>
          <t>INR/PD</t>
        </is>
      </c>
      <c r="D18" s="7" t="inlineStr">
        <is>
          <t>PD</t>
        </is>
      </c>
      <c r="E18" s="7" t="inlineStr">
        <is>
          <t>Note</t>
        </is>
      </c>
    </row>
    <row r="19">
      <c r="A19" s="8" t="inlineStr">
        <is>
          <t>ME</t>
        </is>
      </c>
      <c r="B19" s="9" t="inlineStr">
        <is>
          <t>Migration Engineer</t>
        </is>
      </c>
      <c r="C19" s="43" t="n">
        <v>8640</v>
      </c>
      <c r="D19" s="44" t="n">
        <v>44.68609488209815</v>
      </c>
      <c r="E19" s="53" t="inlineStr">
        <is>
          <t>Crawler, two-signal validator, transforms, redirect map, cut-over.</t>
        </is>
      </c>
    </row>
    <row r="20">
      <c r="A20" s="8" t="inlineStr">
        <is>
          <t>BA</t>
        </is>
      </c>
      <c r="B20" s="9" t="inlineStr">
        <is>
          <t>Content Strategist / Business Analyst</t>
        </is>
      </c>
      <c r="C20" s="43" t="n">
        <v>9360</v>
      </c>
      <c r="D20" s="44" t="n">
        <v>35.23399517391077</v>
      </c>
      <c r="E20" s="53" t="inlineStr">
        <is>
          <t>Owns the inventory, the triage facilitation and the disposition register.</t>
        </is>
      </c>
    </row>
    <row r="21">
      <c r="A21" s="8" t="inlineStr">
        <is>
          <t>EL</t>
        </is>
      </c>
      <c r="B21" s="9" t="inlineStr">
        <is>
          <t>Engagement Lead / Programme Manager</t>
        </is>
      </c>
      <c r="C21" s="43" t="n">
        <v>15840</v>
      </c>
      <c r="D21" s="44" t="n">
        <v>23.09391517487705</v>
      </c>
      <c r="E21" s="53" t="inlineStr">
        <is>
          <t>Client-facing; owns the CIO route and the decision gates.</t>
        </is>
      </c>
    </row>
    <row r="22">
      <c r="A22" s="8" t="inlineStr">
        <is>
          <t>SA</t>
        </is>
      </c>
      <c r="B22" s="9" t="inlineStr">
        <is>
          <t>Solution Architect — Gov.In CMS / DBIM</t>
        </is>
      </c>
      <c r="C22" s="43" t="n">
        <v>17280</v>
      </c>
      <c r="D22" s="44" t="n">
        <v>7.723210976516258</v>
      </c>
      <c r="E22" s="53" t="inlineStr">
        <is>
          <t>Scarce skill; the platform-specific knowledge is the whole reason to hire outside.</t>
        </is>
      </c>
    </row>
    <row r="23">
      <c r="A23" s="8" t="inlineStr">
        <is>
          <t>QA</t>
        </is>
      </c>
      <c r="B23" s="9" t="inlineStr">
        <is>
          <t>QA Engineer</t>
        </is>
      </c>
      <c r="C23" s="43" t="n">
        <v>6840</v>
      </c>
      <c r="D23" s="44" t="n">
        <v>4.278053138952633</v>
      </c>
      <c r="E23" s="53" t="inlineStr">
        <is>
          <t>Assertion suites; every redirect row is a test.</t>
        </is>
      </c>
    </row>
    <row r="24">
      <c r="A24" s="8" t="inlineStr">
        <is>
          <t>SE</t>
        </is>
      </c>
      <c r="B24" s="9" t="inlineStr">
        <is>
          <t>Security Engineer</t>
        </is>
      </c>
      <c r="C24" s="43" t="n">
        <v>14400</v>
      </c>
      <c r="D24" s="44" t="n">
        <v>3.609212972685701</v>
      </c>
      <c r="E24" s="53" t="inlineStr">
        <is>
          <t>CSP, patching, pre-audit clearance, CERT-In liaison.</t>
        </is>
      </c>
    </row>
    <row r="25">
      <c r="A25" s="8" t="inlineStr">
        <is>
          <t>CO</t>
        </is>
      </c>
      <c r="B25" s="9" t="inlineStr">
        <is>
          <t>Content Operations / Editorial support</t>
        </is>
      </c>
      <c r="C25" s="43" t="n">
        <v>5400</v>
      </c>
      <c r="D25" s="44" t="n">
        <v>2.120097130808384</v>
      </c>
      <c r="E25" s="53" t="inlineStr">
        <is>
          <t>Bulk load, alt text, metadata. The line most safely moved to IPC's own team.</t>
        </is>
      </c>
    </row>
    <row r="26">
      <c r="A26" s="8" t="inlineStr">
        <is>
          <t>AX</t>
        </is>
      </c>
      <c r="B26" s="9" t="inlineStr">
        <is>
          <t>Accessibility Specialist</t>
        </is>
      </c>
      <c r="C26" s="43" t="n">
        <v>10800</v>
      </c>
      <c r="D26" s="44" t="n">
        <v>1.41339808720559</v>
      </c>
      <c r="E26" s="53" t="inlineStr">
        <is>
          <t>WCAG 2.1 AA; 50 of GIGW 3.0's 88 guidelines.</t>
        </is>
      </c>
    </row>
    <row r="29">
      <c r="A29" s="34" t="inlineStr">
        <is>
          <t>COMMERCIAL TERMS</t>
        </is>
      </c>
    </row>
    <row r="30" ht="30" customHeight="1">
      <c r="A30" s="7" t="inlineStr">
        <is>
          <t>Item</t>
        </is>
      </c>
      <c r="B30" s="7" t="inlineStr">
        <is>
          <t>Rate</t>
        </is>
      </c>
      <c r="C30" s="7" t="inlineStr">
        <is>
          <t>Value (INR)</t>
        </is>
      </c>
      <c r="D30" s="7" t="inlineStr"/>
      <c r="E30" s="7" t="inlineStr">
        <is>
          <t>Note</t>
        </is>
      </c>
    </row>
    <row r="31" ht="45" customHeight="1">
      <c r="A31" s="8" t="inlineStr">
        <is>
          <t>Earnest money deposit</t>
        </is>
      </c>
      <c r="B31" s="54" t="n">
        <v>0.04</v>
      </c>
      <c r="C31" s="43" t="n">
        <v>67796.61016949153</v>
      </c>
      <c r="D31" s="9" t="inlineStr"/>
      <c r="E31" s="53" t="inlineStr">
        <is>
          <t>IPC's own revealed rate on GEM/2026/B/7781379 (13-07-2026), against a GeM recommendation of 1%. Refundable, but it blocks working capital through evaluation.</t>
        </is>
      </c>
    </row>
    <row r="32" ht="45" customHeight="1">
      <c r="A32" s="8" t="inlineStr">
        <is>
          <t>Performance bank guarantee</t>
        </is>
      </c>
      <c r="B32" s="54" t="n">
        <v>0.05</v>
      </c>
      <c r="C32" s="43" t="n">
        <v>84745.76271186442</v>
      </c>
      <c r="D32" s="9" t="inlineStr"/>
      <c r="E32" s="53" t="inlineStr">
        <is>
          <t>IPC's revealed rate, held 60 months on its last IT bid. For a 5.5-month assignment, negotiate the term down — a 60-month PBG on a 24-week engagement is a real and avoidable carrying cost.</t>
        </is>
      </c>
    </row>
    <row r="33" ht="15" customHeight="1">
      <c r="A33" s="8" t="inlineStr">
        <is>
          <t>PBG carrying cost per annum</t>
        </is>
      </c>
      <c r="B33" s="54" t="n">
        <v>0.015</v>
      </c>
      <c r="C33" s="43" t="n">
        <v>1271.186440677966</v>
      </c>
      <c r="D33" s="9" t="inlineStr"/>
      <c r="E33" s="53" t="inlineStr">
        <is>
          <t>Bank commission. Routinely forgotten in pricing.</t>
        </is>
      </c>
    </row>
    <row r="34" ht="30" customHeight="1">
      <c r="A34" s="8" t="inlineStr">
        <is>
          <t>Liquidated damages cap</t>
        </is>
      </c>
      <c r="B34" s="54" t="n">
        <v>0.1</v>
      </c>
      <c r="C34" s="43" t="n">
        <v>169491.5254237288</v>
      </c>
      <c r="D34" s="9" t="inlineStr"/>
      <c r="E34" s="53" t="inlineStr">
        <is>
          <t>Convention is 0.5% per week of delay capped at 10%. This is the schedule risk expressed in rupees.</t>
        </is>
      </c>
    </row>
    <row r="35" ht="30" customHeight="1">
      <c r="A35" s="8" t="inlineStr">
        <is>
          <t>Retention against M6</t>
        </is>
      </c>
      <c r="B35" s="54" t="n">
        <v>0.1</v>
      </c>
      <c r="C35" s="43" t="n">
        <v>169491.5254237288</v>
      </c>
      <c r="D35" s="9" t="inlineStr"/>
      <c r="E35" s="53" t="inlineStr">
        <is>
          <t>M6 is itself 10% and is the natural retention. Do not stack a further retention on top of it.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2026-09-01T08:23:21Z</dcterms:created>
  <dcterms:modified xmlns:dcterms="http://purl.org/dc/terms/" xmlns:xsi="http://www.w3.org/2001/XMLSchema-instance" xsi:type="dcterms:W3CDTF">2026-09-01T08:23:21Z</dcterms:modified>
</cp:coreProperties>
</file>