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_rels/sheet17.xml.rels" ContentType="application/vnd.openxmlformats-package.relationships+xml"/>
  <Override PartName="/xl/worksheets/_rels/sheet10.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Build &amp; Verification" sheetId="2" state="visible" r:id="rId4"/>
    <sheet name="Toolchain (build.py)" sheetId="3" state="visible" r:id="rId5"/>
    <sheet name="Product Build" sheetId="4" state="visible" r:id="rId6"/>
    <sheet name="Market &amp; Revenue" sheetId="5" state="visible" r:id="rId7"/>
    <sheet name="Product Sensitivity" sheetId="6" state="visible" r:id="rId8"/>
    <sheet name="Product Funding" sheetId="7" state="visible" r:id="rId9"/>
    <sheet name="Effort - Mobile &amp; IPRS" sheetId="8" state="visible" r:id="rId10"/>
    <sheet name="Effort - Website" sheetId="9" state="visible" r:id="rId11"/>
    <sheet name="Monte Carlo" sheetId="10" state="visible" r:id="rId12"/>
    <sheet name="Scenario C Model" sheetId="11" state="visible" r:id="rId13"/>
    <sheet name="Scenario D Model" sheetId="12" state="visible" r:id="rId14"/>
    <sheet name="Scenario E Model" sheetId="13" state="visible" r:id="rId15"/>
    <sheet name="Independent Estimate" sheetId="14" state="visible" r:id="rId16"/>
    <sheet name="Unification Savings" sheetId="15" state="visible" r:id="rId17"/>
    <sheet name="Risk Register (reclassified)" sheetId="16" state="visible" r:id="rId18"/>
    <sheet name="Sensitivity" sheetId="17" state="visible" r:id="rId19"/>
    <sheet name="Team &amp; Rate Card" sheetId="18" state="visible" r:id="rId20"/>
    <sheet name="Scenarios &amp; Cost" sheetId="19" state="visible" r:id="rId21"/>
    <sheet name="Price &amp; Commercials" sheetId="20" state="visible" r:id="rId22"/>
    <sheet name="Timeline" sheetId="21" state="visible" r:id="rId23"/>
  </sheets>
  <definedNames>
    <definedName function="false" hidden="false" name="Blended_Rate_INR_PD" vbProcedure="false">'Team &amp; Rate Card'!$E$16</definedName>
    <definedName function="false" hidden="false" name="Break_Even_Licence_Lakh" vbProcedure="false">'Scenario E Model'!$C$120</definedName>
    <definedName function="false" hidden="false" name="IPC_Bid_P80" vbProcedure="false">'Monte Carlo'!$C$31</definedName>
    <definedName function="false" hidden="false" name="Product_Build_Cost_Cr" vbProcedure="false">'Product Build'!$C$72</definedName>
    <definedName function="false" hidden="false" name="Product_Build_P80" vbProcedure="false">'Product Build'!$C$69</definedName>
    <definedName function="false" hidden="false" name="Scenario_B_Cost_Cr" vbProcedure="false">'Scenarios &amp; Cost'!$E$6</definedName>
    <definedName function="false" hidden="false" name="Scenario_B_PD" vbProcedure="false">'Scenarios &amp; Cost'!$C$6</definedName>
    <definedName function="false" hidden="false" name="TCO_5yr_Cr" vbProcedure="false">'Scenarios &amp; Cost'!$C$40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<sst xmlns="http://schemas.openxmlformats.org/spreadsheetml/2006/main" count="2873" uniqueCount="1750">
  <si>
    <t xml:space="preserve">IPC Digital Platform — Estimate v2</t>
  </si>
  <si>
    <t xml:space="preserve">Rebuilt 18 Aug 2026 against verified evidence from the live IPC estate. Supersedes v1.</t>
  </si>
  <si>
    <t xml:space="preserve">WHAT CHANGED IN v2</t>
  </si>
  <si>
    <t xml:space="preserve">1. Verified, not assumed</t>
  </si>
  <si>
    <t xml:space="preserve">v1 assumed ~2,500 pages of migration and a greenfield build. Both were wrong. The live estate was inspected and the baselines below are counted, not estimated.</t>
  </si>
  <si>
    <t xml:space="preserve">2. Probabilistic, not point</t>
  </si>
  <si>
    <t xml:space="preserve">v1 gave a single number plus a 12% contingency I chose. v2 derives P50 / P80 / P90 from the three-point spread already in the model, and derives contingency from an expected-value risk register.</t>
  </si>
  <si>
    <t xml:space="preserve">3. Build-vs-adopt tested</t>
  </si>
  <si>
    <t xml:space="preserve">v1 priced three flavours of bespoke build. v2 adds Scenario D, which tests replatforming the existing estate against a full rebuild.</t>
  </si>
  <si>
    <t xml:space="preserve">4. Unit economics</t>
  </si>
  <si>
    <t xml:space="preserve">v2 computes cost per transaction against the real catalogue and order volumes, which is the first number an evaluation committee will calculate.</t>
  </si>
  <si>
    <t xml:space="preserve">5. Price, not just cost</t>
  </si>
  <si>
    <t xml:space="preserve">v2 adds margin, GST, milestone billing, cash-flow curve, performance guarantee and liquidated-damages exposure.</t>
  </si>
  <si>
    <t xml:space="preserve">6. Triangulated</t>
  </si>
  <si>
    <t xml:space="preserve">v2 cross-checks the bottom-up build against a top-down analogy and a capability-count method. Where they disagree, that gap is stated rather than hidden.</t>
  </si>
  <si>
    <t xml:space="preserve">VERIFIED BASELINES</t>
  </si>
  <si>
    <t xml:space="preserve">All figures below were read from the live IPC estate on 18 Aug 2026.</t>
  </si>
  <si>
    <t xml:space="preserve">Current CMS</t>
  </si>
  <si>
    <t xml:space="preserve">Joomla. Confirmed from the meta-generator on every page. Migration is Joomla-to-target, not greenfield.</t>
  </si>
  <si>
    <t xml:space="preserve">Current commerce</t>
  </si>
  <si>
    <t xml:space="preserve">OpenCart, live at /shop/. Confirmed from URL routing (index.php?route=product/category). Doc B's e-commerce module is a REPLATFORM with existing product, customer and order data — scope absent from Doc B entirely.</t>
  </si>
  <si>
    <t xml:space="preserve">IPRS catalogue</t>
  </si>
  <si>
    <t xml:space="preserve">702 reference substances. Counted from List-of-IP-Reference-Substances.pdf, last updated 24/06/2026. Each row carries current lot, one previous lot with validity, and quantity per vial.</t>
  </si>
  <si>
    <t xml:space="preserve">IMPRS catalogue</t>
  </si>
  <si>
    <t xml:space="preserve">639 reference impurities. Counted from Impuritie_List.pdf, last updated 24/06/2026. Each row carries API/monograph linkage, lot data, quantity and TWO price tiers.</t>
  </si>
  <si>
    <t xml:space="preserve">Total priced SKUs</t>
  </si>
  <si>
    <t xml:space="preserve">1,341 plus publications, subscriptions, phytochemical and botanical standards, and the Prednisone calibrator tablet.</t>
  </si>
  <si>
    <t xml:space="preserve">Government pricing</t>
  </si>
  <si>
    <t xml:space="preserve">IPC ALREADY publishes a two-tier price list: private party and government organisation, at exactly 50%. Doc A's '50% discount' is therefore price-tier assignment against an existing list, not a discount engine. The real control is the verification workflow.</t>
  </si>
  <si>
    <t xml:space="preserve">Lot history available</t>
  </si>
  <si>
    <t xml:space="preserve">IPC publishes current lot plus ONE previous lot. Doc A requires five. The additional history may not exist in digital form — see risk K2.</t>
  </si>
  <si>
    <t xml:space="preserve">Bilingual</t>
  </si>
  <si>
    <t xml:space="preserve">A Hindi site already exists at /hi/. Translation is largely a migration and coverage-completion exercise, not a from-scratch translation project. v1 over-provisioned this.</t>
  </si>
  <si>
    <t xml:space="preserve">Traffic — RETRACTED</t>
  </si>
  <si>
    <t xml:space="preserve">RETRACTED. This baseline claimed roughly 88,000 monthly visitors from the site's own counter. The derivation used page Last-Modified dates as if they were counter read times; they are not. Traffic is UNVERIFIED. Doc B's 100,000-monthly figure may well be a reasonable growth allowance, and the criticism previously made of it does not stand.</t>
  </si>
  <si>
    <t xml:space="preserve">Separate systems</t>
  </si>
  <si>
    <t xml:space="preserve">IP Online runs on its own subdomain (iponline.ipc.gov.in). It is the concrete SSO federation target Doc B section 1.6 refers to.</t>
  </si>
  <si>
    <t xml:space="preserve">Procurement route</t>
  </si>
  <si>
    <t xml:space="preserve">IPC transacts through GeM (Government e-Marketplace) — its NFI digitalisation and printing tenders both ran there. Relevant to how this would actually be awarded.</t>
  </si>
  <si>
    <t xml:space="preserve">Estate hygiene</t>
  </si>
  <si>
    <t xml:space="preserve">Production pages link to a vendor staging host (ipc.maxtraserver.in); a G20 banner from 2023 is still live; the site map's own last-updated date is July 2019; the NFI section still headlines 2021 while NFI 2026 is being procured. This is direct evidence for Doc B's archival and lifecycle requirements.</t>
  </si>
  <si>
    <t xml:space="preserve">VERIFIED COMPLIANCE POSITION</t>
  </si>
  <si>
    <t xml:space="preserve">GIGW 3.0</t>
  </si>
  <si>
    <t xml:space="preserve">88 mandatory guidelines across quality, accessibility, cybersecurity and lifecycle management. Conforms to WCAG 2.1 Level AA with 17 added success criteria. Its cybersecurity chapter was written by CERT-In and EXPLICITLY covers mobile apps — so Doc A omitting GIGW is a compliance gap, not merely an inconsistency with Doc B.</t>
  </si>
  <si>
    <t xml:space="preserve">STQC</t>
  </si>
  <si>
    <t xml:space="preserve">Conformity is evidenced by Certified Quality Website (CQW) certification from the STQC Directorate, involving document review plus frontend and backend testing.</t>
  </si>
  <si>
    <t xml:space="preserve">DPDP</t>
  </si>
  <si>
    <t xml:space="preserve">Both documents cite the 'DPDP Bill, 2023'. It has been an Act since August 2023, and the DPDP Rules were notified on 13 November 2025. Compliance is phased: the Board and definitions took effect immediately, penalties and Consent Manager registration from 13 November 2026, and FULL COMPLIANCE IS DUE 13 MAY 2027. A 16-month programme starting now lands on or after that date — DPDP is a hard delivery constraint, not a design preference.</t>
  </si>
  <si>
    <t xml:space="preserve">Correction to v1</t>
  </si>
  <si>
    <t xml:space="preserve">v1 argued Google Analytics conflicts with DPDP on localisation grounds. That was wrong: the final Rules use a blacklist model for cross-border transfer, not data localisation. The real constraints are consent, purpose limitation, retention limits and a 90-day grievance timeline.</t>
  </si>
  <si>
    <t xml:space="preserve">HOW TO USE</t>
  </si>
  <si>
    <t xml:space="preserve">Blue = input, change these. Black = formula. Green = cross-sheet link. Yellow = primary lever.</t>
  </si>
  <si>
    <t xml:space="preserve">Row shading</t>
  </si>
  <si>
    <t xml:space="preserve">Pink = scope the documents omit but the outcome requires. Green = scope newly identified from inspecting the live estate, absent from both documents.</t>
  </si>
  <si>
    <t xml:space="preserve">Excluded</t>
  </si>
  <si>
    <t xml:space="preserve">IPC staff time; content authoring; payment gateway TDR; statutory fees; physical cold-chain infrastructure; IPC-side hardware.</t>
  </si>
  <si>
    <t xml:space="preserve">WHAT CHANGED IN v5</t>
  </si>
  <si>
    <t xml:space="preserve">One sheet, both scenarios</t>
  </si>
  <si>
    <t xml:space="preserve">This workbook now prices two different questions in one place: what it costs to build Lotmark as a product, and what IPC costs under five routes including adopting that product.</t>
  </si>
  <si>
    <t xml:space="preserve">Product Build sheet</t>
  </si>
  <si>
    <t xml:space="preserve">New. The product had never been estimated — only customer deployments had. Same three-point and Monte Carlo method.</t>
  </si>
  <si>
    <t xml:space="preserve">Scenario E</t>
  </si>
  <si>
    <t xml:space="preserve">New. Every IPC module carries a factor for what survives once the product supplies the core, modelled per module rather than as a global multiplier.</t>
  </si>
  <si>
    <t xml:space="preserve">Why it matters</t>
  </si>
  <si>
    <t xml:space="preserve">Scenarios A to D all assume a bespoke build. If the product exists, none of them is the cheapest route for IPC, and the workbook previously could not say so.</t>
  </si>
  <si>
    <t xml:space="preserve">UNITS AND CONVENTIONS</t>
  </si>
  <si>
    <t xml:space="preserve">PD — person-day</t>
  </si>
  <si>
    <t xml:space="preserve">One person working one day. 21 person-days make one person-month. All effort figures in this workbook are person-days unless a column header says otherwise.</t>
  </si>
  <si>
    <t xml:space="preserve">INR crore (Cr)</t>
  </si>
  <si>
    <t xml:space="preserve">Ten million rupees. Used for build cost, total cost of ownership and quoted price.</t>
  </si>
  <si>
    <t xml:space="preserve">INR lakh</t>
  </si>
  <si>
    <t xml:space="preserve">One hundred thousand rupees. Used for pass-through and licence lines. Note that crore and lakh both appear in this workbook — always read the column header.</t>
  </si>
  <si>
    <t xml:space="preserve">INR / PD</t>
  </si>
  <si>
    <t xml:space="preserve">The blended rate: rupees per person-day. Multiply effort by this to get cost.</t>
  </si>
  <si>
    <t xml:space="preserve">Factor (0–1)</t>
  </si>
  <si>
    <t xml:space="preserve">Dimensionless. The fraction of a module that survives under a given scenario. 1.00 means untouched; 0.15 means 15% of the original effort remains.</t>
  </si>
  <si>
    <t xml:space="preserve">Probability (0–1)</t>
  </si>
  <si>
    <t xml:space="preserve">Dimensionless likelihood of a risk event, used to weight its impact.</t>
  </si>
  <si>
    <t xml:space="preserve">P50 / P80 / P90</t>
  </si>
  <si>
    <t xml:space="preserve">Confidence levels from the Monte Carlo, expressed in person-days. P80 means four runs in five finish at or below that figure.</t>
  </si>
  <si>
    <t xml:space="preserve">Sigma</t>
  </si>
  <si>
    <t xml:space="preserve">Standard deviation of a module's three-point spread, in person-days.</t>
  </si>
  <si>
    <t xml:space="preserve">FP / KSLOC</t>
  </si>
  <si>
    <t xml:space="preserve">Function points and thousands of source lines of code, used only on the Independent Estimate sheet.</t>
  </si>
  <si>
    <t xml:space="preserve">Months</t>
  </si>
  <si>
    <t xml:space="preserve">Schedule durations on the Timeline sheet. Columns M1 to M16 are programme months, not calendar months.</t>
  </si>
  <si>
    <t xml:space="preserve">FTE</t>
  </si>
  <si>
    <t xml:space="preserve">Full-time equivalent people, derived as person-days in a month divided by 21.</t>
  </si>
  <si>
    <t xml:space="preserve">Counts</t>
  </si>
  <si>
    <t xml:space="preserve">Orders, SKUs, records and clause tallies are plain counts and carry no monetary or effort unit.</t>
  </si>
  <si>
    <t xml:space="preserve">Where a unit is ambiguous</t>
  </si>
  <si>
    <t xml:space="preserve">Column headers now carry the unit in brackets, and headline figures carry it inside the cell format so a copied cell keeps its unit.</t>
  </si>
  <si>
    <t xml:space="preserve">Build and Verification</t>
  </si>
  <si>
    <t xml:space="preserve">Three deliverables, one toolchain. The toolchain is carried inside the product and exportable from its Build screen.</t>
  </si>
  <si>
    <t xml:space="preserve">THE THREE DELIVERABLES</t>
  </si>
  <si>
    <t xml:space="preserve">Ref</t>
  </si>
  <si>
    <t xml:space="preserve">Outcome</t>
  </si>
  <si>
    <t xml:space="preserve">File</t>
  </si>
  <si>
    <t xml:space="preserve">What it is</t>
  </si>
  <si>
    <t xml:space="preserve">D1</t>
  </si>
  <si>
    <t xml:space="preserve">Product</t>
  </si>
  <si>
    <t xml:space="preserve">lotmark-app.html</t>
  </si>
  <si>
    <t xml:space="preserve">The working application. Nine roles, 22 console modules, ISO 17034 and 21 CFR Part 11 controls that can be exercised rather than read. Carries build.py inside it, exportable from Build and verification.</t>
  </si>
  <si>
    <t xml:space="preserve">D2</t>
  </si>
  <si>
    <t xml:space="preserve">Wireframe</t>
  </si>
  <si>
    <t xml:space="preserve">lotmark-product-wireframe.html</t>
  </si>
  <si>
    <t xml:space="preserve">37 screens of product design, including the market and deployment decision screens. Its screen list is the source the product's coverage map is generated from.</t>
  </si>
  <si>
    <t xml:space="preserve">D3</t>
  </si>
  <si>
    <t xml:space="preserve">Estimation</t>
  </si>
  <si>
    <t xml:space="preserve">Lotmark_and_IPC_Estimate_v5.xlsx</t>
  </si>
  <si>
    <t xml:space="preserve">This workbook. Cost and revenue for both the product build and five IPC routes, in one place.</t>
  </si>
  <si>
    <t xml:space="preserve">SHIP SEQUENCE — run in this order after any change</t>
  </si>
  <si>
    <t xml:space="preserve">Step</t>
  </si>
  <si>
    <t xml:space="preserve">Command</t>
  </si>
  <si>
    <t xml:space="preserve">Guards</t>
  </si>
  <si>
    <t xml:space="preserve">Why it is in this position</t>
  </si>
  <si>
    <t xml:space="preserve">recalc the workbook</t>
  </si>
  <si>
    <t xml:space="preserve">cached values must exist</t>
  </si>
  <si>
    <t xml:space="preserve">openpyxl drops cached values on save; every reference check would otherwise report a false failure</t>
  </si>
  <si>
    <t xml:space="preserve">python3 build.py sync</t>
  </si>
  <si>
    <t xml:space="preserve">asserts substitution size and key symbols; refuses to write a damaged file</t>
  </si>
  <si>
    <t xml:space="preserve">regenerates the coverage map from the wireframe and injects figures, so drift cannot survive a build</t>
  </si>
  <si>
    <t xml:space="preserve">python3 build.py check</t>
  </si>
  <si>
    <t xml:space="preserve">23 checks; exits non-zero</t>
  </si>
  <si>
    <t xml:space="preserve">catches duplicate declarations, broken references, undefined permissions, coverage drift</t>
  </si>
  <si>
    <t xml:space="preserve">open the product, Build and verification</t>
  </si>
  <si>
    <t xml:space="preserve">16 runtime invariants</t>
  </si>
  <si>
    <t xml:space="preserve">only evaluable with data loaded — signatures, chain, referential integrity</t>
  </si>
  <si>
    <t xml:space="preserve">the five JS harnesses</t>
  </si>
  <si>
    <t xml:space="preserve">166 assertions, each asserting its own count</t>
  </si>
  <si>
    <t xml:space="preserve">behaviour, not structure</t>
  </si>
  <si>
    <t xml:space="preserve">WHAT THE TOOLCHAIN CHECKS, AND THE DEFECT THAT PUT IT THERE</t>
  </si>
  <si>
    <t xml:space="preserve">Check</t>
  </si>
  <si>
    <t xml:space="preserve">Where it runs</t>
  </si>
  <si>
    <t xml:space="preserve">The defect it exists because of</t>
  </si>
  <si>
    <t xml:space="preserve">V1</t>
  </si>
  <si>
    <t xml:space="preserve">Duplicate function and constant declarations</t>
  </si>
  <si>
    <t xml:space="preserve">build.py check</t>
  </si>
  <si>
    <t xml:space="preserve">A re-run patch script inserted a block twice, nested inside the first. JavaScript accepts it silently.</t>
  </si>
  <si>
    <t xml:space="preserve">V2</t>
  </si>
  <si>
    <t xml:space="preserve">Cross-sheet references land on numeric cells</t>
  </si>
  <si>
    <t xml:space="preserve">A hardcoded coordinate pointed at a paragraph of prose after rows shifted.</t>
  </si>
  <si>
    <t xml:space="preserve">V3</t>
  </si>
  <si>
    <t xml:space="preserve">Named ranges resolve to numbers</t>
  </si>
  <si>
    <t xml:space="preserve">Same root cause: coordinates as an addressing scheme.</t>
  </si>
  <si>
    <t xml:space="preserve">V4</t>
  </si>
  <si>
    <t xml:space="preserve">No cached formula errors</t>
  </si>
  <si>
    <t xml:space="preserve">A row insert broke an entire block, because openpyxl does not translate formulas.</t>
  </si>
  <si>
    <t xml:space="preserve">V5</t>
  </si>
  <si>
    <t xml:space="preserve">Every permission used is defined and granted</t>
  </si>
  <si>
    <t xml:space="preserve">build.py check + product</t>
  </si>
  <si>
    <t xml:space="preserve">An export guarded on a permission absent from the model, so it refused everyone silently.</t>
  </si>
  <si>
    <t xml:space="preserve">V6</t>
  </si>
  <si>
    <t xml:space="preserve">Every module has a renderer</t>
  </si>
  <si>
    <t xml:space="preserve">A dead fallback key crashed the app for a role with no console modules.</t>
  </si>
  <si>
    <t xml:space="preserve">V7</t>
  </si>
  <si>
    <t xml:space="preserve">Inline handlers call functions that exist</t>
  </si>
  <si>
    <t xml:space="preserve">Handlers are strings; a rename does not break them until someone clicks.</t>
  </si>
  <si>
    <t xml:space="preserve">V8</t>
  </si>
  <si>
    <t xml:space="preserve">No backticks or mangled escapes in handlers</t>
  </si>
  <si>
    <t xml:space="preserve">A nested backtick and a Python-mangled apostrophe each terminated a template literal.</t>
  </si>
  <si>
    <t xml:space="preserve">V9</t>
  </si>
  <si>
    <t xml:space="preserve">Coverage map matches the wireframe</t>
  </si>
  <si>
    <t xml:space="preserve">The artefact that verifies the product drifted from the product.</t>
  </si>
  <si>
    <t xml:space="preserve">V10</t>
  </si>
  <si>
    <t xml:space="preserve">Harnesses assert their own assertion count</t>
  </si>
  <si>
    <t xml:space="preserve">Three separate green results came from tests that never ran.</t>
  </si>
  <si>
    <t xml:space="preserve">V11</t>
  </si>
  <si>
    <t xml:space="preserve">Signatures carry a valid competence basis</t>
  </si>
  <si>
    <t xml:space="preserve">product runtime</t>
  </si>
  <si>
    <t xml:space="preserve">Nine seeded signatures had none, found by the product checking itself.</t>
  </si>
  <si>
    <t xml:space="preserve">V12</t>
  </si>
  <si>
    <t xml:space="preserve">Bound signatures still verify</t>
  </si>
  <si>
    <t xml:space="preserve">21 CFR 11 §11.70: a signature must be provably bound to its record.</t>
  </si>
  <si>
    <t xml:space="preserve">V13</t>
  </si>
  <si>
    <t xml:space="preserve">Referential integrity across orders, lots, vault, studies</t>
  </si>
  <si>
    <t xml:space="preserve">Only evaluable with data loaded.</t>
  </si>
  <si>
    <t xml:space="preserve">Standing caveat</t>
  </si>
  <si>
    <t xml:space="preserve">The toolchain protects these three files from the people editing them. It does not test whether a reference material producer would buy the product. The addressable share in the Market and Revenue sheet is invented, and it moves the answer more than any other input here.</t>
  </si>
  <si>
    <t xml:space="preserve">build.py — the complete toolchain</t>
  </si>
  <si>
    <t xml:space="preserve">Copy column B to a file named build.py, then run: python3 build.py all. Column A is the line number only. Lines beginning with an equals sign are stored as forced text so the spreadsheet does not read them as formulas.</t>
  </si>
  <si>
    <t xml:space="preserve">#!/usr/bin/env python3</t>
  </si>
  <si>
    <t xml:space="preserve">"""</t>
  </si>
  <si>
    <t xml:space="preserve">build.py — the entire Lotmark toolchain in one file.</t>
  </si>
  <si>
    <t xml:space="preserve">  python3 build.py sync     regenerate the coverage map and inject workbook figures</t>
  </si>
  <si>
    <t xml:space="preserve">  python3 build.py check    run 23 preflight checks across all three artefacts</t>
  </si>
  <si>
    <t xml:space="preserve">  python3 build.py all      sync, then check (the ship sequence)</t>
  </si>
  <si>
    <t xml:space="preserve">Also importable as a library for `Patcher` and `cell_by_label`.</t>
  </si>
  <si>
    <t xml:space="preserve">Every check here exists because the corresponding defect actually happened during this</t>
  </si>
  <si>
    <t xml:space="preserve">build. Discipline did not catch them; a script would have. Recalculate the workbook</t>
  </si>
  <si>
    <t xml:space="preserve">before running — openpyxl drops cached values on save.</t>
  </si>
  <si>
    <t xml:space="preserve">import openpyxl, re, sys, os, json</t>
  </si>
  <si>
    <t xml:space="preserve">from openpyxl.workbook.defined_name import DefinedName</t>
  </si>
  <si>
    <t xml:space="preserve">from openpyxl.utils import quote_sheetname, absolute_coordinate</t>
  </si>
  <si>
    <t xml:space="preserve">XL = "/mnt/user-data/outputs/Lotmark_and_IPC_Estimate_v5.xlsx"</t>
  </si>
  <si>
    <t xml:space="preserve">WF = "/mnt/user-data/outputs/lotmark-product-wireframe.html"</t>
  </si>
  <si>
    <t xml:space="preserve">AP = "/mnt/user-data/outputs/lotmark-app.html"</t>
  </si>
  <si>
    <t xml:space="preserve"># A file that carries this script inside it must not be analysed WITH this script inside</t>
  </si>
  <si>
    <t xml:space="preserve"># it: every literal here (const PERMS={, const COVERAGE=[, guard('...')) would be read as</t>
  </si>
  <si>
    <t xml:space="preserve"># application code. sync() found its own embedded copy and patched the wrong place.</t>
  </si>
  <si>
    <t xml:space="preserve"># Strip the carrier before reading, and never write inside it.</t>
  </si>
  <si>
    <t xml:space="preserve">EMBED_OPEN = '&lt;script type="text/plain" id="build-src"&gt;'</t>
  </si>
  <si>
    <t xml:space="preserve">EMBED_CLOSE = '&lt;/script&gt;'</t>
  </si>
  <si>
    <t xml:space="preserve">def strip_embedded(src):</t>
  </si>
  <si>
    <t xml:space="preserve">    i = src.find(EMBED_OPEN)</t>
  </si>
  <si>
    <t xml:space="preserve">    if i == -1:</t>
  </si>
  <si>
    <t xml:space="preserve">        return src</t>
  </si>
  <si>
    <t xml:space="preserve">    j = src.find(EMBED_CLOSE, i)</t>
  </si>
  <si>
    <t xml:space="preserve">    return src[:i] + src[j + len(EMBED_CLOSE):]</t>
  </si>
  <si>
    <t xml:space="preserve">def split_embedded(src):</t>
  </si>
  <si>
    <t xml:space="preserve">        return src, "", ""</t>
  </si>
  <si>
    <t xml:space="preserve">    j = src.find(EMBED_CLOSE, i) + len(EMBED_CLOSE)</t>
  </si>
  <si>
    <t xml:space="preserve">    return src[:i], src[i:j], src[j:]</t>
  </si>
  <si>
    <t xml:space="preserve"># ══════════════════ PATCHING LIBRARY ══════════════════</t>
  </si>
  <si>
    <t xml:space="preserve">class Patcher:</t>
  </si>
  <si>
    <t xml:space="preserve">    def __init__(self, path, comment=("/*", "*/"), marker="PATCHLIB-APPLIED"):</t>
  </si>
  <si>
    <t xml:space="preserve">        self.path, self.c, self.marker = path, comment, marker</t>
  </si>
  <si>
    <t xml:space="preserve">        self.s = open(path).read()</t>
  </si>
  <si>
    <t xml:space="preserve">        self.applied = set(re.findall(rf"{re.escape(marker)}:(\S+)", self.s))</t>
  </si>
  <si>
    <t xml:space="preserve">        self.done, self.skipped = [], []</t>
  </si>
  <si>
    <t xml:space="preserve">    def apply(self, pid, old, new, allow_missing=False):</t>
  </si>
  <si>
    <t xml:space="preserve">        if pid in self.applied:</t>
  </si>
  <si>
    <t xml:space="preserve">            self.skipped.append(pid); print(f"  skip  {pid} (already applied)"); return False</t>
  </si>
  <si>
    <t xml:space="preserve">        n = self.s.count(old)</t>
  </si>
  <si>
    <t xml:space="preserve">        if n == 0:</t>
  </si>
  <si>
    <t xml:space="preserve">            if allow_missing:</t>
  </si>
  <si>
    <t xml:space="preserve">                print(f"  skip  {pid} (anchor absent, allowed)"); return False</t>
  </si>
  <si>
    <t xml:space="preserve">            raise AssertionError(f"{pid}: anchor not found")</t>
  </si>
  <si>
    <t xml:space="preserve">        if n &gt; 1:</t>
  </si>
  <si>
    <t xml:space="preserve">            raise AssertionError(f"{pid}: anchor appears {n} times — widen it until it is unique")</t>
  </si>
  <si>
    <t xml:space="preserve">        self.s = self.s.replace(old, new, 1)</t>
  </si>
  <si>
    <t xml:space="preserve">        self._record(pid)</t>
  </si>
  <si>
    <t xml:space="preserve">        self._write()</t>
  </si>
  <si>
    <t xml:space="preserve">        self.done.append(pid); print(f"  ok    {pid}")</t>
  </si>
  <si>
    <t xml:space="preserve">        return True</t>
  </si>
  <si>
    <t xml:space="preserve">    def _record(self, pid):</t>
  </si>
  <si>
    <t xml:space="preserve">        tag = f"{self.c[0]} {self.marker}:{pid} {self.c[1]}"</t>
  </si>
  <si>
    <t xml:space="preserve">        self.s = self.s.rstrip() + "\n" + tag + "\n"</t>
  </si>
  <si>
    <t xml:space="preserve">        self.applied.add(pid)</t>
  </si>
  <si>
    <t xml:space="preserve">    def _write(self):</t>
  </si>
  <si>
    <t xml:space="preserve">        open(self.path, "w").write(self.s)</t>
  </si>
  <si>
    <t xml:space="preserve">    def finish(self):</t>
  </si>
  <si>
    <t xml:space="preserve">        """Post-conditions that would have caught the duplication."""</t>
  </si>
  <si>
    <t xml:space="preserve">        fns = re.findall(r"^function\s+(\w+)\s*\(", self.s, re.M)</t>
  </si>
  <si>
    <t xml:space="preserve">        dup = sorted({f for f in fns if fns.count(f) &gt; 1})</t>
  </si>
  <si>
    <t xml:space="preserve">        if dup:</t>
  </si>
  <si>
    <t xml:space="preserve">            raise AssertionError(f"duplicate function declarations after patching: {', '.join(dup)}")</t>
  </si>
  <si>
    <t xml:space="preserve">        consts = re.findall(r"^const\s+([A-Z_][A-Z0-9_]*)\s*=", self.s, re.M)</t>
  </si>
  <si>
    <t xml:space="preserve">        dupc = sorted({c for c in consts if consts.count(c) &gt; 1})</t>
  </si>
  <si>
    <t xml:space="preserve">        if dupc:</t>
  </si>
  <si>
    <t xml:space="preserve">            raise AssertionError(f"duplicate constants after patching: {', '.join(dupc)}")</t>
  </si>
  <si>
    <t xml:space="preserve">        print(f"\n{len(self.done)} applied, {len(self.skipped)} already present, no duplicate declarations")</t>
  </si>
  <si>
    <t xml:space="preserve">def cell_by_label(ws, predicate, value_col, label_col=2):</t>
  </si>
  <si>
    <t xml:space="preserve">    """Resolve a workbook cell by its LABEL, never by a hardcoded coordinate.</t>
  </si>
  <si>
    <t xml:space="preserve">    A hardcoded 'Sheet'!C122 pointed at a paragraph of prose once rows shifted.</t>
  </si>
  <si>
    <t xml:space="preserve">    Addressing by label survives inserts, deletes and reordering.</t>
  </si>
  <si>
    <t xml:space="preserve">    """</t>
  </si>
  <si>
    <t xml:space="preserve">    for r in range(1, ws.max_row + 1):</t>
  </si>
  <si>
    <t xml:space="preserve">        v = ws.cell(row=r, column=label_col).value</t>
  </si>
  <si>
    <t xml:space="preserve">        if v and predicate(str(v)):</t>
  </si>
  <si>
    <t xml:space="preserve">            target = ws.cell(row=r, column=value_col)</t>
  </si>
  <si>
    <t xml:space="preserve">            return r, target</t>
  </si>
  <si>
    <t xml:space="preserve">    raise AssertionError("no row matched the label predicate — check the label text")</t>
  </si>
  <si>
    <t xml:space="preserve"># ══════════════════ SYNC ══════════════════</t>
  </si>
  <si>
    <t xml:space="preserve">def sync():</t>
  </si>
  <si>
    <t xml:space="preserve">    FAIL = []</t>
  </si>
  <si>
    <t xml:space="preserve">    def check(cond, msg):</t>
  </si>
  <si>
    <t xml:space="preserve">        if not cond: FAIL.append(msg); print("  FAIL  " + msg)</t>
  </si>
  <si>
    <t xml:space="preserve">        else: print("  ok    " + msg)</t>
  </si>
  <si>
    <t xml:space="preserve">    # ───────────────────────────── 1. read the figures from the workbook</t>
  </si>
  <si>
    <t xml:space="preserve">    wv = openpyxl.load_workbook(XL, data_only=True)</t>
  </si>
  <si>
    <t xml:space="preserve">    sc, pb, em = wv['Scenarios &amp; Cost'], wv['Product Build'], wv['Scenario E Model']</t>
  </si>
  <si>
    <t xml:space="preserve">    def row_where(ws, pred, col=2):</t>
  </si>
  <si>
    <t xml:space="preserve">        for r in range(1, ws.max_row + 1):</t>
  </si>
  <si>
    <t xml:space="preserve">            v = ws.cell(row=r, column=col).value</t>
  </si>
  <si>
    <t xml:space="preserve">            if v and pred(str(v)): return r</t>
  </si>
  <si>
    <t xml:space="preserve">        return None</t>
  </si>
  <si>
    <t xml:space="preserve">    FIG = {}</t>
  </si>
  <si>
    <t xml:space="preserve">    for r in range(5, 10):</t>
  </si>
  <si>
    <t xml:space="preserve">        k = sc.cell(row=r, column=1).value</t>
  </si>
  <si>
    <t xml:space="preserve">        if k and str(k).startswith('S-'):</t>
  </si>
  <si>
    <t xml:space="preserve">            FIG[str(k)] = {'pd': round(sc.cell(row=r, column=3).value),</t>
  </si>
  <si>
    <t xml:space="preserve">                           'cr': round(sc.cell(row=r, column=5).value, 2)}</t>
  </si>
  <si>
    <t xml:space="preserve">    FIG['product_pd'] = round(pb.cell(row=row_where(pb, lambda x: 'RECOMMENDED BUILD' in x), column=3).value)</t>
  </si>
  <si>
    <t xml:space="preserve">    FIG['product_cr'] = round(pb.cell(row=row_where(pb, lambda x: 'Build cost at the blended rate' in x), column=3).value, 2)</t>
  </si>
  <si>
    <t xml:space="preserve">    FIG['licence_cr'] = round(em.cell(row=row_where(em, lambda x: x.startswith('Scenario E — licence')), column=3).value, 2)</t>
  </si>
  <si>
    <t xml:space="preserve">    FIG['allin_cr']   = round(em.cell(row=row_where(em, lambda x: x.startswith('Scenario E — all in')), column=3).value, 2)</t>
  </si>
  <si>
    <t xml:space="preserve">    FIG['breakeven']  = round(em.cell(row=row_where(em, lambda x: 'BREAK-EVEN LICENCE' in x), column=3).value, 1)</t>
  </si>
  <si>
    <t xml:space="preserve">    mk = wv['Market &amp; Revenue']</t>
  </si>
  <si>
    <t xml:space="preserve">    arr = [r for r in range(1, mk.max_row + 1) if 'Annual recurring revenue' in str(mk.cell(row=r, column=2).value or '')]</t>
  </si>
  <si>
    <t xml:space="preserve">    FIG['arr_producer_base'] = round(mk.cell(row=arr[0], column=4).value, 1)</t>
  </si>
  <si>
    <t xml:space="preserve">    FIG['arr_producer_high'] = round(mk.cell(row=arr[0], column=5).value, 1)</t>
  </si>
  <si>
    <t xml:space="preserve">    FIG['arr_vault_base']    = round(mk.cell(row=arr[1], column=4).value, 1)</t>
  </si>
  <si>
    <t xml:space="preserve">    FIG['acv_gap']           = round(mk.cell(row=row_where(mk, lambda x: x.strip() == 'Gap'), column=3).value, 1)</t>
  </si>
  <si>
    <t xml:space="preserve">    print("FIGURES READ FROM THE WORKBOOK")</t>
  </si>
  <si>
    <t xml:space="preserve">    for k, v in FIG.items(): print(f"   {k:12} {v}")</t>
  </si>
  <si>
    <t xml:space="preserve">    check(FIG['S-B']['pd'] &gt; FIG['S-E']['pd'], "Scenario B exceeds Scenario E in effort, as it must")</t>
  </si>
  <si>
    <t xml:space="preserve">    check(FIG['product_cr'] &lt; FIG['S-B']['cr'], "the product costs less to build than one bespoke engagement")</t>
  </si>
  <si>
    <t xml:space="preserve">    check(abs((FIG['S-E']['cr'] + FIG['licence_cr']) - FIG['allin_cr']) &lt; 0.02, "Scenario E all-in equals build plus licence")</t>
  </si>
  <si>
    <t xml:space="preserve">    # ───────────────────────────── 2. inject the figures into the wireframe</t>
  </si>
  <si>
    <t xml:space="preserve">    wf = strip_embedded(open(WF).read())</t>
  </si>
  <si>
    <t xml:space="preserve">    fmt = lambda n: f"{n:,}"</t>
  </si>
  <si>
    <t xml:space="preserve">    DEPLOY_ROWS = (</t>
  </si>
  <si>
    <t xml:space="preserve">     "{0:['Cost to build the product itself','A — two independent builds','B — bespoke unified build',"</t>
  </si>
  <si>
    <t xml:space="preserve">     "'C — bespoke, phase 1 only','D — replatform the estate','E — customer adopts the product'],\n"</t>
  </si>
  <si>
    <t xml:space="preserve">     f"   1:['{fmt(FIG['product_pd'])}','{fmt(FIG['S-A']['pd'])}','{fmt(FIG['S-B']['pd'])}',"</t>
  </si>
  <si>
    <t xml:space="preserve">     f"'{fmt(FIG['S-C']['pd'])}','{fmt(FIG['S-D']['pd'])}','{fmt(FIG['S-E']['pd'])}'],\n"</t>
  </si>
  <si>
    <t xml:space="preserve">     f"   2:['{FIG['product_cr']:.2f}','{FIG['S-A']['cr']:.2f}','{FIG['S-B']['cr']:.2f}',"</t>
  </si>
  <si>
    <t xml:space="preserve">     f"'{FIG['S-C']['cr']:.2f}','{FIG['S-D']['cr']:.2f}','{FIG['S-E']['cr']:.2f}'],\n"</t>
  </si>
  <si>
    <t xml:space="preserve">     f"   3:['—','—','—','—','—','{FIG['licence_cr']:.2f}'],\n"</t>
  </si>
  <si>
    <t xml:space="preserve">     f"   4:['{FIG['product_cr']:.2f}','{FIG['S-A']['cr']:.2f}','{FIG['S-B']['cr']:.2f}',"</t>
  </si>
  <si>
    <t xml:space="preserve">     f"'{FIG['S-C']['cr']:.2f}','{FIG['S-D']['cr']:.2f}','{FIG['allin_cr']:.2f}'],\n"</t>
  </si>
  <si>
    <t xml:space="preserve">     "   5:['Less than one bespoke engagement','','The bid basis','Defers the AI layer and mobile',"</t>
  </si>
  <si>
    <t xml:space="preserve">     "'Unvalidated','Costs MORE at the assumed licence']}"</t>
  </si>
  <si>
    <t xml:space="preserve">    )</t>
  </si>
  <si>
    <t xml:space="preserve">    pat = re.compile(r"(\$\{tbl\(\['Route','Effort PD','Build INR Cr','Licence 5yr','All in 5yr','Reading'\],6,\n\s*)\{[\s\S]*?\}(\)\})")</t>
  </si>
  <si>
    <t xml:space="preserve">    m = pat.search(wf)</t>
  </si>
  <si>
    <t xml:space="preserve">    check(m is not None, "wireframe deployment table located")</t>
  </si>
  <si>
    <t xml:space="preserve">    if m:</t>
  </si>
  <si>
    <t xml:space="preserve">        before = len(wf)</t>
  </si>
  <si>
    <t xml:space="preserve">        wf = wf[:m.start()] + m.group(1) + DEPLOY_ROWS + m.group(2) + wf[m.end():]</t>
  </si>
  <si>
    <t xml:space="preserve">        check(abs(len(wf) - before) &lt; 900, f"deployment substitution is proportionate ({len(wf)-before:+d} chars)")</t>
  </si>
  <si>
    <t xml:space="preserve">    wf2, k = re.subn(r"Roughly ₹[\d.]+ lakh a year\.",</t>
  </si>
  <si>
    <t xml:space="preserve">                     f"Roughly ₹{FIG['breakeven']:.0f} lakh a year.", wf)</t>
  </si>
  <si>
    <t xml:space="preserve">    check(k == 1, f"break-even injected into the wireframe ({k} site)")</t>
  </si>
  <si>
    <t xml:space="preserve">    wf = wf2</t>
  </si>
  <si>
    <t xml:space="preserve">    wf2, k = re.subn(r"about ₹[\d.]+ lakh a year, roughly \$[\d,]+", </t>
  </si>
  <si>
    <t xml:space="preserve">                     f"about ₹{FIG['breakeven']:.0f} lakh a year, roughly ${round(FIG['breakeven']*100000/83/1000)*1000:,}", wf)</t>
  </si>
  <si>
    <t xml:space="preserve">    check(k &gt;= 0, f"break-even dollar equivalent updated ({k} site)")</t>
  </si>
  <si>
    <t xml:space="preserve">    wf2, k = re.subn(r"tops out around \$?[\d.]+M", f"tops out around ₹{FIG['arr_producer_high']:.0f} crore", wf)</t>
  </si>
  <si>
    <t xml:space="preserve">    check(k &gt;= 0, f"producer ceiling injected ({k} site)")</t>
  </si>
  <si>
    <t xml:space="preserve">    for sym in ["SCREENS", "renderMap", "function paint"]:</t>
  </si>
  <si>
    <t xml:space="preserve">        check(sym in wf, f"wireframe still contains {sym} after substitution")</t>
  </si>
  <si>
    <t xml:space="preserve">    # ───────────────────────────── 3. regenerate the app's coverage map FROM the wireframe</t>
  </si>
  <si>
    <t xml:space="preserve">    screens = re.findall(r"\{id:'([a-z-]+)',g:'(\w+)',n:'([^']*)'", wf)</t>
  </si>
  <si>
    <t xml:space="preserve">    check(len(screens) &gt;= 30, f"parsed {len(screens)} screens from the wireframe")</t>
  </si>
  <si>
    <t xml:space="preserve">    # implementation status, keyed by wireframe screen id — the only hand-maintained part,</t>
  </si>
  <si>
    <t xml:space="preserve">    # and it now fails loudly if a screen id appears that nobody has classified.</t>
  </si>
  <si>
    <t xml:space="preserve">    STATUS = {</t>
  </si>
  <si>
    <t xml:space="preserve">     'map':('n/a','Navigation artefact, not an application screen'),</t>
  </si>
  <si>
    <t xml:space="preserve">     'boundary':('n/a','Decision artefact'),</t>
  </si>
  <si>
    <t xml:space="preserve">     'market':('n/a','Decision artefact'),</t>
  </si>
  <si>
    <t xml:space="preserve">     'schema':('built','Traceability explorer, plus the three closures as live queries'),</t>
  </si>
  <si>
    <t xml:space="preserve">     'deploy':('n/a','Decision artefact — priced in the estimate workbook'),</t>
  </si>
  <si>
    <t xml:space="preserve">     'proj-list':('built','Console › Projects'),</t>
  </si>
  <si>
    <t xml:space="preserve">     'proj-detail':('built','Console › Projects › detail'),</t>
  </si>
  <si>
    <t xml:space="preserve">     'material':('partial','Material fields on the project; processing steps not modelled'),</t>
  </si>
  <si>
    <t xml:space="preserve">     'homogeneity':('built','Console › Studies — u(bb) feeds the budget'),</t>
  </si>
  <si>
    <t xml:space="preserve">     'stability':('built','Console › Studies — shelf life, storage and transport class derived'),</t>
  </si>
  <si>
    <t xml:space="preserve">     'characterisation':('built','Console › Studies — u(char) feeds the budget'),</t>
  </si>
  <si>
    <t xml:space="preserve">     'values':('built','Console › Property values — budget derived, signature bound'),</t>
  </si>
  <si>
    <t xml:space="preserve">     'authorise':('built','Console › Value authorisation — SoD, competence and step-up enforced'),</t>
  </si>
  <si>
    <t xml:space="preserve">     'lots':('built','Console › Lot register — release supersedes the previous lot'),</t>
  </si>
  <si>
    <t xml:space="preserve">     'cert-build':('built','Issue from the lot register, step-up gated and §11.70 bound'),</t>
  </si>
  <si>
    <t xml:space="preserve">     'cert-template':('not built','Multi-tenant templating deferred'),</t>
  </si>
  <si>
    <t xml:space="preserve">     'cert-registry':('built','Console › Certificates — issue diff, holder list, per-issue verification'),</t>
  </si>
  <si>
    <t xml:space="preserve">     'catalogue':('built','Console › Catalogue — listable only with a current certificate'),</t>
  </si>
  <si>
    <t xml:space="preserve">     'entitlement':('built','Console › Entitlement — SoD enforced, revalidation set'),</t>
  </si>
  <si>
    <t xml:space="preserve">     'orders':('built','Console › Orders — allocation at the line, break-glass PII reveal'),</t>
  </si>
  <si>
    <t xml:space="preserve">     'order-detail':('partial','Line-level allocation shown; full linked-record view deferred'),</t>
  </si>
  <si>
    <t xml:space="preserve">     'dispatch':('built','Console › Dispatch — pack instruction from the storage class'),</t>
  </si>
  <si>
    <t xml:space="preserve">     'storefront':('built','Customer › Catalogue'),</t>
  </si>
  <si>
    <t xml:space="preserve">     'cust-account':('built','Customer › My vault'),</t>
  </si>
  <si>
    <t xml:space="preserve">     'vault':('built','Customer › My vault with a CSV audit pack'),</t>
  </si>
  <si>
    <t xml:space="preserve">     'conformance':('built','Console › Conformance — recomputes live, exports an assessment pack'),</t>
  </si>
  <si>
    <t xml:space="preserve">     'audit':('built','Console › Audit ledger — verify, tamper, CSV export'),</t>
  </si>
  <si>
    <t xml:space="preserve">     'subcontract':('built','Console › Subcontractors — five forbidden activities blocked'),</t>
  </si>
  <si>
    <t xml:space="preserve">     'capa':('partial','Register with computed impact; investigation workflow deferred'),</t>
  </si>
  <si>
    <t xml:space="preserve">     'equipment':('built','Console › Equipment — dated intervals, impact trace'),</t>
  </si>
  <si>
    <t xml:space="preserve">     'competence':('built','Console › Competence — dated, checked at signing, snapshotted'),</t>
  </si>
  <si>
    <t xml:space="preserve">     'users':('built','Console › Users and roles, with the SoD rules table'),</t>
  </si>
  <si>
    <t xml:space="preserve">     'tenant':('built','Console › Tenant configuration — IPC is a profile, not a fork'),</t>
  </si>
  <si>
    <t xml:space="preserve">     'integrations':('not built','No external systems in a single-file prototype'),</t>
  </si>
  <si>
    <t xml:space="preserve">     'analytics':('not built','Deferred'),</t>
  </si>
  <si>
    <t xml:space="preserve">     'mobile-cust':('not built','QR scan stubbed in the vault'),</t>
  </si>
  <si>
    <t xml:space="preserve">     'mobile-dispatch':('not built','Deferred'),</t>
  </si>
  <si>
    <t xml:space="preserve">    }</t>
  </si>
  <si>
    <t xml:space="preserve">    missing = [i for i, g, nm in screens if i not in STATUS]</t>
  </si>
  <si>
    <t xml:space="preserve">    check(not missing, f"every wireframe screen has a classification (unclassified: {missing})")</t>
  </si>
  <si>
    <t xml:space="preserve">    if missing: </t>
  </si>
  <si>
    <t xml:space="preserve">        print("\nA screen was added to the wireframe without a status. Add it to STATUS in this script.")</t>
  </si>
  <si>
    <t xml:space="preserve">        raise SystemExit(1)</t>
  </si>
  <si>
    <t xml:space="preserve">    rows = []</t>
  </si>
  <si>
    <t xml:space="preserve">    for sid, grp, name in screens:</t>
  </si>
  <si>
    <t xml:space="preserve">        st, where = STATUS[sid]</t>
  </si>
  <si>
    <t xml:space="preserve">        esc = lambda x: x.replace("\\", "\\\\").replace("'", "\\'")</t>
  </si>
  <si>
    <t xml:space="preserve">        rows.append(f" ['{grp}','{esc(name)}','{st}','{esc(where)}']")</t>
  </si>
  <si>
    <t xml:space="preserve">    COVERAGE = "const COVERAGE=[\n" + ",\n".join(rows) + "];"</t>
  </si>
  <si>
    <t xml:space="preserve">    ap_head, ap_embed, ap_tail = split_embedded(open(AP).read())</t>
  </si>
  <si>
    <t xml:space="preserve">    ap = ap_head + ap_tail</t>
  </si>
  <si>
    <t xml:space="preserve">    pat2 = re.compile(r"const COVERAGE=\[[\s\S]*?\];")</t>
  </si>
  <si>
    <t xml:space="preserve">    m2 = pat2.search(ap)</t>
  </si>
  <si>
    <t xml:space="preserve">    check(m2 is not None, "app coverage block located")</t>
  </si>
  <si>
    <t xml:space="preserve">    if m2:</t>
  </si>
  <si>
    <t xml:space="preserve">        before = len(ap)</t>
  </si>
  <si>
    <t xml:space="preserve">        ap = ap[:m2.start()] + COVERAGE + ap[m2.end():]</t>
  </si>
  <si>
    <t xml:space="preserve">        check(abs(len(ap) - before) &lt; 4000, f"coverage substitution is proportionate ({len(ap)-before:+d} chars)")</t>
  </si>
  <si>
    <t xml:space="preserve">    for sym in ["function vCoverage", "function cSecurity", "function render", "SOD_RULES", "bindSignature"]:</t>
  </si>
  <si>
    <t xml:space="preserve">        check(sym in ap, f"app still contains {sym} after substitution")</t>
  </si>
  <si>
    <t xml:space="preserve">    ap2, k = re.subn(r"break-even licence of roughly ₹[\d.]+ lakh a year",</t>
  </si>
  <si>
    <t xml:space="preserve">                     f"break-even licence of roughly ₹{FIG['breakeven']:.0f} lakh a year", ap)</t>
  </si>
  <si>
    <t xml:space="preserve">    check(k == 1, f"break-even injected into the app ({k} site)")</t>
  </si>
  <si>
    <t xml:space="preserve">    ap = ap2</t>
  </si>
  <si>
    <t xml:space="preserve">    # ───────────────────────────── 4. write only if everything held</t>
  </si>
  <si>
    <t xml:space="preserve">    if FAIL:</t>
  </si>
  <si>
    <t xml:space="preserve">        print(f"\n{len(FAIL)} check(s) failed — NOTHING WRITTEN")</t>
  </si>
  <si>
    <t xml:space="preserve">        for f in FAIL: print("   " + f)</t>
  </si>
  <si>
    <t xml:space="preserve">    open(WF, "w").write(wf)</t>
  </si>
  <si>
    <t xml:space="preserve">    if ap_embed:</t>
  </si>
  <si>
    <t xml:space="preserve">        ap = ap[:len(ap_head)] + ap_embed + ap[len(ap_head):]</t>
  </si>
  <si>
    <t xml:space="preserve">    open(AP, "w").write(ap)</t>
  </si>
  <si>
    <t xml:space="preserve">    built = sum(1 for _, _, n in screens if STATUS[_ if False else _][0] == 'built') if False else sum(1 for i, g, n in screens if STATUS[i][0] == 'built')</t>
  </si>
  <si>
    <t xml:space="preserve">    print(f"\nSYNCED. {len(screens)} wireframe screens -&gt; {len(rows)} coverage rows "</t>
  </si>
  <si>
    <t xml:space="preserve">          f"({built} built). Figures injected from the workbook. Both files written.")</t>
  </si>
  <si>
    <t xml:space="preserve"># ══════════════════ CHECK ══════════════════</t>
  </si>
  <si>
    <t xml:space="preserve">def check_all():</t>
  </si>
  <si>
    <t xml:space="preserve">    RESULTS = []</t>
  </si>
  <si>
    <t xml:space="preserve">    def check(name, ok, detail=""):</t>
  </si>
  <si>
    <t xml:space="preserve">        RESULTS.append((name, ok, detail))</t>
  </si>
  <si>
    <t xml:space="preserve">        print(f"  {'PASS' if ok else 'FAIL'}  {name}{'' if ok else '  — ' + detail}")</t>
  </si>
  <si>
    <t xml:space="preserve">        return ok</t>
  </si>
  <si>
    <t xml:space="preserve">    app = strip_embedded(open(AP).read())</t>
  </si>
  <si>
    <t xml:space="preserve">    wfm = strip_embedded(open(WF).read())</t>
  </si>
  <si>
    <t xml:space="preserve">    # ══════════════════════════════════════════════════════════════════</t>
  </si>
  <si>
    <t xml:space="preserve">    # 1. DUPLICATE DECLARATIONS</t>
  </si>
  <si>
    <t xml:space="preserve">    #    Cause: re-running a patch script after a mid-script assert re-applied an</t>
  </si>
  <si>
    <t xml:space="preserve">    #    insertion, nested inside the first copy. JS allows it, so nothing complained.</t>
  </si>
  <si>
    <t xml:space="preserve">    print("\n1. Duplicate declarations (re-run patch scripts)")</t>
  </si>
  <si>
    <t xml:space="preserve">    for label, src in (("app", app), ("wireframe", wfm)):</t>
  </si>
  <si>
    <t xml:space="preserve">        fns = re.findall(r"^function\s+(\w+)\s*\(", src, re.M)</t>
  </si>
  <si>
    <t xml:space="preserve">        consts = re.findall(r"^const\s+([A-Z_][A-Z0-9_]*)\s*=", src, re.M)</t>
  </si>
  <si>
    <t xml:space="preserve">        dup_f = sorted({f for f in fns if fns.count(f) &gt; 1})</t>
  </si>
  <si>
    <t xml:space="preserve">        dup_c = sorted({c for c in consts if consts.count(c) &gt; 1})</t>
  </si>
  <si>
    <t xml:space="preserve">        check(f"{label}: no duplicate function declarations", not dup_f, ", ".join(dup_f))</t>
  </si>
  <si>
    <t xml:space="preserve">        check(f"{label}: no duplicate top-level constants", not dup_c, ", ".join(dup_c))</t>
  </si>
  <si>
    <t xml:space="preserve">    # 2. CROSS-SHEET REFERENCES POINT AT NUMBERS</t>
  </si>
  <si>
    <t xml:space="preserve">    #    Cause: a hardcoded 'Scenario E Model'!C122 that pointed at a paragraph of prose</t>
  </si>
  <si>
    <t xml:space="preserve">    #    after rows shifted. Recalc reported an error, but only because the arithmetic</t>
  </si>
  <si>
    <t xml:space="preserve">    #    happened to fail — a reference landing on the wrong NUMBER would be silent.</t>
  </si>
  <si>
    <t xml:space="preserve">    print("\n2. Cross-sheet references resolve to numbers")</t>
  </si>
  <si>
    <t xml:space="preserve">    wb = openpyxl.load_workbook(XL)</t>
  </si>
  <si>
    <t xml:space="preserve">    # openpyxl drops cached values on save, so an un-recalculated workbook makes EVERY</t>
  </si>
  <si>
    <t xml:space="preserve">    # reference look non-numeric. Distinguish that from a genuinely broken reference.</t>
  </si>
  <si>
    <t xml:space="preserve">    cached = sum(1 for ws in wv.worksheets for row in ws.iter_rows() for c in row</t>
  </si>
  <si>
    <t xml:space="preserve">                 if isinstance(c.value, (int, float)))</t>
  </si>
  <si>
    <t xml:space="preserve">    if not check("workbook has been recalculated (cached values present)", cached &gt; 200,</t>
  </si>
  <si>
    <t xml:space="preserve">                 f"only {cached} numeric cells — run recalc.py before this linter"):</t>
  </si>
  <si>
    <t xml:space="preserve">        print("     skipping reference checks: they cannot be meaningful without cached values")</t>
  </si>
  <si>
    <t xml:space="preserve">    ref_re = re.compile(r"'([^']+)'!\$?([A-Z]{1,3})\$?(\d+)")</t>
  </si>
  <si>
    <t xml:space="preserve">    bad, total = [], 0</t>
  </si>
  <si>
    <t xml:space="preserve">    for ws in wb.worksheets:</t>
  </si>
  <si>
    <t xml:space="preserve">        for row in ws.iter_rows():</t>
  </si>
  <si>
    <t xml:space="preserve">            for c in row:</t>
  </si>
  <si>
    <t xml:space="preserve">                if not (isinstance(c.value, str) and c.value.startswith("=")):</t>
  </si>
  <si>
    <t xml:space="preserve">                    continue</t>
  </si>
  <si>
    <t xml:space="preserve">                for sheet, col, rownum in ref_re.findall(c.value):</t>
  </si>
  <si>
    <t xml:space="preserve">                    total += 1</t>
  </si>
  <si>
    <t xml:space="preserve">                    if sheet not in wv.sheetnames:</t>
  </si>
  <si>
    <t xml:space="preserve">                        bad.append(f"{ws.title}!{c.coordinate} -&gt; missing sheet '{sheet}'"); continue</t>
  </si>
  <si>
    <t xml:space="preserve">                    tgt = wv[sheet][f"{col}{rownum}"].value</t>
  </si>
  <si>
    <t xml:space="preserve">                    if not isinstance(tgt, (int, float)):</t>
  </si>
  <si>
    <t xml:space="preserve">                        bad.append(f"{ws.title}!{c.coordinate} -&gt; '{sheet}'!{col}{rownum} is {type(tgt).__name__}")</t>
  </si>
  <si>
    <t xml:space="preserve">    check(f"all {total} cross-sheet references land on numeric cells", not bad, "; ".join(bad[:4]))</t>
  </si>
  <si>
    <t xml:space="preserve">    print("\n3. Named ranges resolve to numbers")</t>
  </si>
  <si>
    <t xml:space="preserve">    nbad = []</t>
  </si>
  <si>
    <t xml:space="preserve">    for nm in wb.defined_names:</t>
  </si>
  <si>
    <t xml:space="preserve">        dn = wb.defined_names[nm]</t>
  </si>
  <si>
    <t xml:space="preserve">        m = ref_re.search(dn.attr_text or "")</t>
  </si>
  <si>
    <t xml:space="preserve">        if not m:</t>
  </si>
  <si>
    <t xml:space="preserve">            nbad.append(f"{nm} unparseable"); continue</t>
  </si>
  <si>
    <t xml:space="preserve">        sheet, col, rownum = m.groups()</t>
  </si>
  <si>
    <t xml:space="preserve">        tgt = wv[sheet][f"{col}{rownum}"].value if sheet in wv.sheetnames else None</t>
  </si>
  <si>
    <t xml:space="preserve">        if not isinstance(tgt, (int, float)):</t>
  </si>
  <si>
    <t xml:space="preserve">            nbad.append(f"{nm} -&gt; {sheet}!{col}{rownum} is {type(tgt).__name__}")</t>
  </si>
  <si>
    <t xml:space="preserve">    check(f"all {len(wb.defined_names)} named ranges point at numeric cells", not nbad, "; ".join(nbad))</t>
  </si>
  <si>
    <t xml:space="preserve">    print("\n4. Formula errors after recalculation")</t>
  </si>
  <si>
    <t xml:space="preserve">    errs = []</t>
  </si>
  <si>
    <t xml:space="preserve">    SOURCE_SHEETS = {"Toolchain (build.py)"}   # holds script text, not formulas</t>
  </si>
  <si>
    <t xml:space="preserve">    for ws in wv.worksheets:</t>
  </si>
  <si>
    <t xml:space="preserve">        if ws.title in SOURCE_SHEETS:</t>
  </si>
  <si>
    <t xml:space="preserve">            continue</t>
  </si>
  <si>
    <t xml:space="preserve">                if isinstance(c.value, str) and c.value.startswith("#"):</t>
  </si>
  <si>
    <t xml:space="preserve">                    errs.append(f"{ws.title}!{c.coordinate}={c.value}")</t>
  </si>
  <si>
    <t xml:space="preserve">    check("no cached formula errors", not errs, "; ".join(errs[:5]))</t>
  </si>
  <si>
    <t xml:space="preserve">    # 5. PERMISSIONS REFERENCED BUT NEVER DEFINED</t>
  </si>
  <si>
    <t xml:space="preserve">    #    Cause: exportLedger guarded on 'audit:export', absent from PERMS, so it 403'd</t>
  </si>
  <si>
    <t xml:space="preserve">    #    for every role — silently, because a denial looks like a working control.</t>
  </si>
  <si>
    <t xml:space="preserve">    print("\n5. Permissions and roles")</t>
  </si>
  <si>
    <t xml:space="preserve">    perms_block = app[app.index("const PERMS={"):app.index("const ROLES={")]</t>
  </si>
  <si>
    <t xml:space="preserve">    defined = set(re.findall(r"'([a-z_]+:[a-z_]+)'\s*:", perms_block))</t>
  </si>
  <si>
    <t xml:space="preserve">    used = set(re.findall(r"guard\('([a-z_]+:[a-z_]+)'", app)) | set(re.findall(r"can\('([a-z_]+:[a-z_]+)'", app))</t>
  </si>
  <si>
    <t xml:space="preserve">    check(f"every permission used ({len(used)}) is defined ({len(defined)})",</t>
  </si>
  <si>
    <t xml:space="preserve">          not (used - defined), ", ".join(sorted(used - defined)))</t>
  </si>
  <si>
    <t xml:space="preserve">    roles_block = app[app.index("const ROLES={"):app.index("const USERS=")]</t>
  </si>
  <si>
    <t xml:space="preserve">    granted = set(re.findall(r"'([a-z_]+:[a-z_]+)'", roles_block))</t>
  </si>
  <si>
    <t xml:space="preserve">    if "Object.keys(PERMS)" in roles_block:</t>
  </si>
  <si>
    <t xml:space="preserve">        granted |= defined          # a role that grants every permission programmatically</t>
  </si>
  <si>
    <t xml:space="preserve">    check("no role grants an undefined permission", not (granted - defined), ", ".join(sorted(granted - defined)))</t>
  </si>
  <si>
    <t xml:space="preserve">    orphan = defined - granted</t>
  </si>
  <si>
    <t xml:space="preserve">    check("every defined permission is granted to at least one role", not orphan, ", ".join(sorted(orphan)))</t>
  </si>
  <si>
    <t xml:space="preserve">    # 6. EVERY MODULE HAS A RENDERER</t>
  </si>
  <si>
    <t xml:space="preserve">    #    Cause: a dead 'dash' fallback crashed the app for a role with no console modules.</t>
  </si>
  <si>
    <t xml:space="preserve">    print("\n6. Routing")</t>
  </si>
  <si>
    <t xml:space="preserve">    mods = set(re.findall(r"\['([a-z]+)','[^']+',(?:'[a-z_:]+'|null)\]", app))</t>
  </si>
  <si>
    <t xml:space="preserve">    route_map = re.search(r"const body=\{([\s\S]*?)\}\[S\.sub\]\(\);", app)</t>
  </si>
  <si>
    <t xml:space="preserve">    routed = set(re.findall(r"(\w+):c\w+", route_map.group(1))) if route_map else set()</t>
  </si>
  <si>
    <t xml:space="preserve">    check(f"every sidebar module ({len(mods)}) has a renderer", not (mods - routed), ", ".join(sorted(mods - routed)))</t>
  </si>
  <si>
    <t xml:space="preserve">    check("no renderer without a module", not (routed - mods), ", ".join(sorted(routed - mods)))</t>
  </si>
  <si>
    <t xml:space="preserve">    # 7. INLINE HANDLERS CALL FUNCTIONS THAT EXIST</t>
  </si>
  <si>
    <t xml:space="preserve">    print("\n7. Inline handlers")</t>
  </si>
  <si>
    <t xml:space="preserve">    defined_fns = set(re.findall(r"function\s+(\w+)\s*\(", app)) | set(re.findall(r"(?:const|let)\s+(\w+)\s*=\s*(?:\([^)]*\)|\w+)\s*=&gt;", app))</t>
  </si>
  <si>
    <t xml:space="preserve">    BUILTINS = {"if","for","while","switch","return","typeof","parseInt","parseFloat","Math","JSON","Number",</t>
  </si>
  <si>
    <t xml:space="preserve">                "String","Array","Object","Date","alert","console","document","window","setTimeout","URL","Blob"}</t>
  </si>
  <si>
    <t xml:space="preserve">    called = set()</t>
  </si>
  <si>
    <t xml:space="preserve">    for h in re.findall(r'onclick="([^"]*)"', app) + re.findall(r'onchange="([^"]*)"', app) + re.findall(r"oninput=\"([^\"]*)\"", app):</t>
  </si>
  <si>
    <t xml:space="preserve">        # a name preceded by a dot is a method call, not a global function</t>
  </si>
  <si>
    <t xml:space="preserve">        called |= set(re.findall(r"(?&lt;![.\w])([a-zA-Z_]\w*)\s*\(", h))</t>
  </si>
  <si>
    <t xml:space="preserve">    missing = sorted(called - defined_fns - BUILTINS)</t>
  </si>
  <si>
    <t xml:space="preserve">    check(f"every function called from an inline handler ({len(called)}) is defined", not missing, ", ".join(missing))</t>
  </si>
  <si>
    <t xml:space="preserve">    # 8. TEMPLATE-LITERAL AND ESCAPING HAZARDS</t>
  </si>
  <si>
    <t xml:space="preserve">    print("\n8. Escaping hazards")</t>
  </si>
  <si>
    <t xml:space="preserve">    backticked = [h[:60] for h in re.findall(r'on(?:click|input|change)="([^"]*)"', app) if "`" in h]</t>
  </si>
  <si>
    <t xml:space="preserve">    check("no backticks inside inline handlers", not backticked, "; ".join(backticked[:2]))</t>
  </si>
  <si>
    <t xml:space="preserve">    check("no double-backslash escapes in either HTML file",</t>
  </si>
  <si>
    <t xml:space="preserve">          "\\\\'" not in app and "\\\\'" not in wfm, "found a Python-mangled escape")</t>
  </si>
  <si>
    <t xml:space="preserve">    # 9. DRIFT — the coverage map must match the wireframe</t>
  </si>
  <si>
    <t xml:space="preserve">    print("\n9. Cross-file drift")</t>
  </si>
  <si>
    <t xml:space="preserve">    wf_screens = re.findall(r"\{id:'([a-z-]+)',g:'(\w+)',n:'([^']*)'", wfm)</t>
  </si>
  <si>
    <t xml:space="preserve">    cov_rows = re.findall(r"^ \['(\w+)','([^']*)','([^']*)','", app, re.M)</t>
  </si>
  <si>
    <t xml:space="preserve">    check("coverage row count equals wireframe screen count",</t>
  </si>
  <si>
    <t xml:space="preserve">          len(cov_rows) == len(wf_screens), f"{len(cov_rows)} rows vs {len(wf_screens)} screens")</t>
  </si>
  <si>
    <t xml:space="preserve">    wf_names = {n.replace("\\'", "'") for _, _, n in wf_screens}</t>
  </si>
  <si>
    <t xml:space="preserve">    cov_names = {n.replace("\\'", "'") for _, n, _ in cov_rows}</t>
  </si>
  <si>
    <t xml:space="preserve">    check("no wireframe screen missing from coverage", not (wf_names - cov_names), ", ".join(sorted(wf_names - cov_names)))</t>
  </si>
  <si>
    <t xml:space="preserve">    check("no orphan coverage rows", not (cov_names - wf_names), ", ".join(sorted(cov_names - wf_names)))</t>
  </si>
  <si>
    <t xml:space="preserve">    # 10. HARNESSES MUST ASSERT THEIR OWN ASSERTION COUNT</t>
  </si>
  <si>
    <t xml:space="preserve">    #     Cause: three separate green results came from tests that never ran.</t>
  </si>
  <si>
    <t xml:space="preserve">    print("\n10. Harness self-checks")</t>
  </si>
  <si>
    <t xml:space="preserve">    hs = [f for f in os.listdir("/home/claude") if f.startswith(("verify", "vsec", "vfinal", "vall")) and f.endswith(".js")]</t>
  </si>
  <si>
    <t xml:space="preserve">    for h in sorted(hs):</t>
  </si>
  <si>
    <t xml:space="preserve">        src = open(f"/home/claude/{h}").read()</t>
  </si>
  <si>
    <t xml:space="preserve">        check(f"{h} prints and guards its assertion count",</t>
  </si>
  <si>
    <t xml:space="preserve">              "assertions ran" in src and re.search(r"RAN\s*&lt;\s*\d+", src) is not None,</t>
  </si>
  <si>
    <t xml:space="preserve">              "no count guard")</t>
  </si>
  <si>
    <t xml:space="preserve">    print("\n" + "=" * 70)</t>
  </si>
  <si>
    <t xml:space="preserve">    failed = [r for r in RESULTS if not r[1]]</t>
  </si>
  <si>
    <t xml:space="preserve">    print(f"{len(RESULTS)} checks ran — {len(RESULTS) - len(failed)} passed, {len(failed)} failed")</t>
  </si>
  <si>
    <t xml:space="preserve">    assert len(RESULTS) &gt;= 20, "the linter itself did not run enough checks — investigate"</t>
  </si>
  <si>
    <t xml:space="preserve">    if failed:</t>
  </si>
  <si>
    <t xml:space="preserve">        print("\nFAILURES:")</t>
  </si>
  <si>
    <t xml:space="preserve">        for n, _, d in failed: print(f"  {n} — {d}")</t>
  </si>
  <si>
    <t xml:space="preserve">    return 1 if failed else 0</t>
  </si>
  <si>
    <t xml:space="preserve">if __name__ == "__main__":</t>
  </si>
  <si>
    <t xml:space="preserve">    cmd = sys.argv[1] if len(sys.argv) &gt; 1 else "all"</t>
  </si>
  <si>
    <t xml:space="preserve">    rc = 0</t>
  </si>
  <si>
    <t xml:space="preserve">    if cmd in ("sync", "all"):</t>
  </si>
  <si>
    <t xml:space="preserve">        sync()</t>
  </si>
  <si>
    <t xml:space="preserve">    if cmd in ("check", "all"):</t>
  </si>
  <si>
    <t xml:space="preserve">        rc = check_all()</t>
  </si>
  <si>
    <t xml:space="preserve">    sys.exit(rc or 0)</t>
  </si>
  <si>
    <t xml:space="preserve">Lotmark — Cost to Build the Product</t>
  </si>
  <si>
    <t xml:space="preserve">Never estimated before. This is the product itself, not any one customer's deployment. Same three-point and Monte Carlo method as the rest of the workbook.</t>
  </si>
  <si>
    <t xml:space="preserve">Module</t>
  </si>
  <si>
    <t xml:space="preserve">Opt (PD)</t>
  </si>
  <si>
    <t xml:space="preserve">Likely (PD)</t>
  </si>
  <si>
    <t xml:space="preserve">Pess (PD)</t>
  </si>
  <si>
    <t xml:space="preserve">Expected (PD)</t>
  </si>
  <si>
    <t xml:space="preserve">Sigma (PD)</t>
  </si>
  <si>
    <t xml:space="preserve">Note</t>
  </si>
  <si>
    <t xml:space="preserve">Foundation</t>
  </si>
  <si>
    <t xml:space="preserve">A1</t>
  </si>
  <si>
    <t xml:space="preserve">Discovery, domain model and architecture</t>
  </si>
  <si>
    <t xml:space="preserve">The three traceability closures are architecture, not features.</t>
  </si>
  <si>
    <t xml:space="preserve">A2</t>
  </si>
  <si>
    <t xml:space="preserve">Design system and UX across ~40 screens</t>
  </si>
  <si>
    <t xml:space="preserve">Foundation subtotal</t>
  </si>
  <si>
    <t xml:space="preserve">Production</t>
  </si>
  <si>
    <t xml:space="preserve">P1</t>
  </si>
  <si>
    <t xml:space="preserve">Project and production plan</t>
  </si>
  <si>
    <t xml:space="preserve">ISO 17034 §7.2</t>
  </si>
  <si>
    <t xml:space="preserve">P2</t>
  </si>
  <si>
    <t xml:space="preserve">Candidate material, processing steps, packaging</t>
  </si>
  <si>
    <t xml:space="preserve">§7.4</t>
  </si>
  <si>
    <t xml:space="preserve">P3</t>
  </si>
  <si>
    <t xml:space="preserve">Homogeneity study and statistics</t>
  </si>
  <si>
    <t xml:space="preserve">§7.5 — produces u(bb)</t>
  </si>
  <si>
    <t xml:space="preserve">P4</t>
  </si>
  <si>
    <t xml:space="preserve">Stability studies, short, long and ongoing</t>
  </si>
  <si>
    <t xml:space="preserve">§7.6 — produces shelf life and transport class</t>
  </si>
  <si>
    <t xml:space="preserve">P5</t>
  </si>
  <si>
    <t xml:space="preserve">Characterisation and interlaboratory comparison</t>
  </si>
  <si>
    <t xml:space="preserve">§7.7 — produces u(char)</t>
  </si>
  <si>
    <t xml:space="preserve">P6</t>
  </si>
  <si>
    <t xml:space="preserve">Property values and uncertainty budget engine</t>
  </si>
  <si>
    <t xml:space="preserve">§7.8 — derived, never typed</t>
  </si>
  <si>
    <t xml:space="preserve">P7</t>
  </si>
  <si>
    <t xml:space="preserve">Value authorisation workflow</t>
  </si>
  <si>
    <t xml:space="preserve">§6.2 — non-subcontractable, SoD enforced</t>
  </si>
  <si>
    <t xml:space="preserve">P8</t>
  </si>
  <si>
    <t xml:space="preserve">Lot register, supersession and expiry</t>
  </si>
  <si>
    <t xml:space="preserve">§7.9</t>
  </si>
  <si>
    <t xml:space="preserve">Production subtotal</t>
  </si>
  <si>
    <t xml:space="preserve">Certification</t>
  </si>
  <si>
    <t xml:space="preserve">C1</t>
  </si>
  <si>
    <t xml:space="preserve">Certificate generation from authorised values</t>
  </si>
  <si>
    <t xml:space="preserve">ISO Guide 31</t>
  </si>
  <si>
    <t xml:space="preserve">C2</t>
  </si>
  <si>
    <t xml:space="preserve">Template designer and versioning</t>
  </si>
  <si>
    <t xml:space="preserve">The multi-tenant hinge</t>
  </si>
  <si>
    <t xml:space="preserve">C3</t>
  </si>
  <si>
    <t xml:space="preserve">Registry, reissue, diff and holder list</t>
  </si>
  <si>
    <t xml:space="preserve">Closure 2</t>
  </si>
  <si>
    <t xml:space="preserve">Certification subtotal</t>
  </si>
  <si>
    <t xml:space="preserve">Distribution</t>
  </si>
  <si>
    <t xml:space="preserve">Catalogue and listing rules</t>
  </si>
  <si>
    <t xml:space="preserve">Entitlement engine and verification workflow</t>
  </si>
  <si>
    <t xml:space="preserve">Orders and lot allocation</t>
  </si>
  <si>
    <t xml:space="preserve">Allocation at the line makes the holder list computable</t>
  </si>
  <si>
    <t xml:space="preserve">D4</t>
  </si>
  <si>
    <t xml:space="preserve">Dispatch and cold chain</t>
  </si>
  <si>
    <t xml:space="preserve">§7.10</t>
  </si>
  <si>
    <t xml:space="preserve">D5</t>
  </si>
  <si>
    <t xml:space="preserve">Customer accounts and laboratory vault</t>
  </si>
  <si>
    <t xml:space="preserve">The second product, built as a surface on the first</t>
  </si>
  <si>
    <t xml:space="preserve">D6</t>
  </si>
  <si>
    <t xml:space="preserve">Public certificate retrieval API</t>
  </si>
  <si>
    <t xml:space="preserve">Distribution strategy, not a feature</t>
  </si>
  <si>
    <t xml:space="preserve">Distribution subtotal</t>
  </si>
  <si>
    <t xml:space="preserve">Compliance</t>
  </si>
  <si>
    <t xml:space="preserve">Q1</t>
  </si>
  <si>
    <t xml:space="preserve">ISO 17034 conformance engine and clause map</t>
  </si>
  <si>
    <t xml:space="preserve">The reason a producer buys</t>
  </si>
  <si>
    <t xml:space="preserve">Q2</t>
  </si>
  <si>
    <t xml:space="preserve">Audit ledger, hash chain, verify and export</t>
  </si>
  <si>
    <t xml:space="preserve">§8.4</t>
  </si>
  <si>
    <t xml:space="preserve">Q3</t>
  </si>
  <si>
    <t xml:space="preserve">Equipment, calibration and impact query</t>
  </si>
  <si>
    <t xml:space="preserve">Closure 1</t>
  </si>
  <si>
    <t xml:space="preserve">Q4</t>
  </si>
  <si>
    <t xml:space="preserve">Competence register, dated, enforced at signing</t>
  </si>
  <si>
    <t xml:space="preserve">Closure 3 — §6.3</t>
  </si>
  <si>
    <t xml:space="preserve">Q5</t>
  </si>
  <si>
    <t xml:space="preserve">Subcontractor register with forbidden-activity block</t>
  </si>
  <si>
    <t xml:space="preserve">§6.2</t>
  </si>
  <si>
    <t xml:space="preserve">Q6</t>
  </si>
  <si>
    <t xml:space="preserve">Complaints, nonconformity and CAPA</t>
  </si>
  <si>
    <t xml:space="preserve">§8.6, §8.7</t>
  </si>
  <si>
    <t xml:space="preserve">Compliance subtotal</t>
  </si>
  <si>
    <t xml:space="preserve">Platform</t>
  </si>
  <si>
    <t xml:space="preserve">X1</t>
  </si>
  <si>
    <t xml:space="preserve">Multi-tenancy, isolation and data residency</t>
  </si>
  <si>
    <t xml:space="preserve">Government producers require in-country hosting</t>
  </si>
  <si>
    <t xml:space="preserve">X2</t>
  </si>
  <si>
    <t xml:space="preserve">Identity, RBAC and segregation-of-duties engine</t>
  </si>
  <si>
    <t xml:space="preserve">X3</t>
  </si>
  <si>
    <t xml:space="preserve">Tenant settings, numbering series, storage classes</t>
  </si>
  <si>
    <t xml:space="preserve">Existing series must continue unbroken</t>
  </si>
  <si>
    <t xml:space="preserve">X4</t>
  </si>
  <si>
    <t xml:space="preserve">Integration framework: LIMS, ERP, courier, payment</t>
  </si>
  <si>
    <t xml:space="preserve">Manual entry path ships first; integration is the upgrade</t>
  </si>
  <si>
    <t xml:space="preserve">X5</t>
  </si>
  <si>
    <t xml:space="preserve">Analytics and MIS</t>
  </si>
  <si>
    <t xml:space="preserve">X6</t>
  </si>
  <si>
    <t xml:space="preserve">Notification service</t>
  </si>
  <si>
    <t xml:space="preserve">Platform subtotal</t>
  </si>
  <si>
    <t xml:space="preserve">Field</t>
  </si>
  <si>
    <t xml:space="preserve">F1</t>
  </si>
  <si>
    <t xml:space="preserve">Customer mobile: QR scan and vault</t>
  </si>
  <si>
    <t xml:space="preserve">F2</t>
  </si>
  <si>
    <t xml:space="preserve">Dispatch handheld</t>
  </si>
  <si>
    <t xml:space="preserve">Field subtotal</t>
  </si>
  <si>
    <t xml:space="preserve">Quality assurance</t>
  </si>
  <si>
    <t xml:space="preserve">QA1</t>
  </si>
  <si>
    <t xml:space="preserve">Test strategy and cases</t>
  </si>
  <si>
    <t xml:space="preserve">QA2</t>
  </si>
  <si>
    <t xml:space="preserve">Functional and regression</t>
  </si>
  <si>
    <t xml:space="preserve">QA3</t>
  </si>
  <si>
    <t xml:space="preserve">Automation</t>
  </si>
  <si>
    <t xml:space="preserve">QA4</t>
  </si>
  <si>
    <t xml:space="preserve">Performance</t>
  </si>
  <si>
    <t xml:space="preserve">QA5</t>
  </si>
  <si>
    <t xml:space="preserve">Accessibility</t>
  </si>
  <si>
    <t xml:space="preserve">QA6</t>
  </si>
  <si>
    <t xml:space="preserve">Security engineering and penetration test</t>
  </si>
  <si>
    <t xml:space="preserve">Quality assurance subtotal</t>
  </si>
  <si>
    <t xml:space="preserve">Product management</t>
  </si>
  <si>
    <t xml:space="preserve">PM1</t>
  </si>
  <si>
    <t xml:space="preserve">Product and delivery management</t>
  </si>
  <si>
    <t xml:space="preserve">PM2</t>
  </si>
  <si>
    <t xml:space="preserve">Documentation and standard operating procedures</t>
  </si>
  <si>
    <t xml:space="preserve">PM3</t>
  </si>
  <si>
    <t xml:space="preserve">Launch, onboarding and migration tooling</t>
  </si>
  <si>
    <t xml:space="preserve">Producers arrive with a spreadsheet or a PDF list</t>
  </si>
  <si>
    <t xml:space="preserve">Product management subtotal</t>
  </si>
  <si>
    <t xml:space="preserve">TOTAL BASE (P50 basis)</t>
  </si>
  <si>
    <t xml:space="preserve">MONTE CARLO — 60,000 iterations, correlation 0.5, five product risks sampled inside the run</t>
  </si>
  <si>
    <t xml:space="preserve">P50 — even odds</t>
  </si>
  <si>
    <t xml:space="preserve">person-days</t>
  </si>
  <si>
    <t xml:space="preserve">Never bid or budget this.</t>
  </si>
  <si>
    <t xml:space="preserve">P80 — RECOMMENDED BUILD BUDGET</t>
  </si>
  <si>
    <t xml:space="preserve">Same standard used for the IPC bid basis.</t>
  </si>
  <si>
    <t xml:space="preserve">P90 — conservative</t>
  </si>
  <si>
    <t xml:space="preserve">If the runway is fixed and cannot extend.</t>
  </si>
  <si>
    <t xml:space="preserve">Build cost at the blended rate</t>
  </si>
  <si>
    <t xml:space="preserve">INR crore</t>
  </si>
  <si>
    <t xml:space="preserve">Compare against the INR 5.62 crore a single bespoke customer build was priced at.</t>
  </si>
  <si>
    <t xml:space="preserve">The finding</t>
  </si>
  <si>
    <t xml:space="preserve">The product costs less to build than one bespoke customer engagement was priced at. That is the whole argument for productising: the same money buys an asset that can be sold repeatedly rather than a deliverable that can be sold once. It also means the first customer can, in principle, fund the product.</t>
  </si>
  <si>
    <t xml:space="preserve">Market and Revenue Model</t>
  </si>
  <si>
    <t xml:space="preserve">Moved here from the wireframe. The cost side and the revenue side of the same decision now live in one file.</t>
  </si>
  <si>
    <t xml:space="preserve">COUNTED POPULATIONS — not estimated</t>
  </si>
  <si>
    <t xml:space="preserve">Population</t>
  </si>
  <si>
    <t xml:space="preserve">Count</t>
  </si>
  <si>
    <t xml:space="preserve">Source</t>
  </si>
  <si>
    <t xml:space="preserve">Confidence</t>
  </si>
  <si>
    <t xml:space="preserve">M1</t>
  </si>
  <si>
    <t xml:space="preserve">RM producers accredited under the ILAC MRA</t>
  </si>
  <si>
    <t xml:space="preserve">ILAC Secretariat 2025</t>
  </si>
  <si>
    <t xml:space="preserve">authoritative</t>
  </si>
  <si>
    <t xml:space="preserve">The producer TAM. Every prospect can be named.</t>
  </si>
  <si>
    <t xml:space="preserve">M2</t>
  </si>
  <si>
    <t xml:space="preserve">Producers registered in COMAR</t>
  </si>
  <si>
    <t xml:space="preserve">BAM COMAR guide</t>
  </si>
  <si>
    <t xml:space="preserve">floor</t>
  </si>
  <si>
    <t xml:space="preserve">Voluntary listing, so an undercount.</t>
  </si>
  <si>
    <t xml:space="preserve">M3</t>
  </si>
  <si>
    <t xml:space="preserve">Certified reference materials listed in COMAR</t>
  </si>
  <si>
    <t xml:space="preserve">About 50 per producer; the estate examined carries 1,341.</t>
  </si>
  <si>
    <t xml:space="preserve">M4</t>
  </si>
  <si>
    <t xml:space="preserve">Laboratories accredited to ISO/IEC 17025</t>
  </si>
  <si>
    <t xml:space="preserve">The vault TAM, 358x the producer population.</t>
  </si>
  <si>
    <t xml:space="preserve">MODEL A — THE PRODUCER PLATFORM</t>
  </si>
  <si>
    <t xml:space="preserve">Low</t>
  </si>
  <si>
    <t xml:space="preserve">Base</t>
  </si>
  <si>
    <t xml:space="preserve">High</t>
  </si>
  <si>
    <t xml:space="preserve">Basis</t>
  </si>
  <si>
    <t xml:space="preserve">Producer universe</t>
  </si>
  <si>
    <t xml:space="preserve">M1 accredited plus unaccredited producers</t>
  </si>
  <si>
    <t xml:space="preserve">Addressable share (carry enough SKUs to need a system)</t>
  </si>
  <si>
    <t xml:space="preserve">WEAKEST INPUT. Nobody publishes SKU counts per producer.</t>
  </si>
  <si>
    <t xml:space="preserve">A3</t>
  </si>
  <si>
    <t xml:space="preserve">Addressable producers</t>
  </si>
  <si>
    <t xml:space="preserve">A4</t>
  </si>
  <si>
    <t xml:space="preserve">Five-year penetration</t>
  </si>
  <si>
    <t xml:space="preserve">Vertical SaaS into a listable population</t>
  </si>
  <si>
    <t xml:space="preserve">A5</t>
  </si>
  <si>
    <t xml:space="preserve">Customers</t>
  </si>
  <si>
    <t xml:space="preserve">A6</t>
  </si>
  <si>
    <t xml:space="preserve">Annual contract value (INR lakh)</t>
  </si>
  <si>
    <t xml:space="preserve">Benchmarked against mid-market LIMS</t>
  </si>
  <si>
    <t xml:space="preserve">A7</t>
  </si>
  <si>
    <t xml:space="preserve">Annual recurring revenue (INR Cr)</t>
  </si>
  <si>
    <t xml:space="preserve">MODEL B — THE LABORATORY VAULT</t>
  </si>
  <si>
    <t xml:space="preserve">B1</t>
  </si>
  <si>
    <t xml:space="preserve">Accredited laboratory universe</t>
  </si>
  <si>
    <t xml:space="preserve">M4, an authoritative count</t>
  </si>
  <si>
    <t xml:space="preserve">B2</t>
  </si>
  <si>
    <t xml:space="preserve">Addressable share (hold enough standards to care)</t>
  </si>
  <si>
    <t xml:space="preserve">WEAKEST INPUT. Untested.</t>
  </si>
  <si>
    <t xml:space="preserve">B3</t>
  </si>
  <si>
    <t xml:space="preserve">Addressable laboratories</t>
  </si>
  <si>
    <t xml:space="preserve">B4</t>
  </si>
  <si>
    <t xml:space="preserve">Self-serve, low touch, seeded by producers</t>
  </si>
  <si>
    <t xml:space="preserve">B5</t>
  </si>
  <si>
    <t xml:space="preserve">B6</t>
  </si>
  <si>
    <t xml:space="preserve">Per-laboratory subscription</t>
  </si>
  <si>
    <t xml:space="preserve">B7</t>
  </si>
  <si>
    <t xml:space="preserve">THE CONTRADICTION THIS SHEET EXISTS TO SURFACE</t>
  </si>
  <si>
    <t xml:space="preserve">Base ACV assumed for a producer (INR lakh/yr)</t>
  </si>
  <si>
    <t xml:space="preserve">Break-even licence for the largest plausible tenant</t>
  </si>
  <si>
    <t xml:space="preserve">From Scenario E: above this, that customer is cheaper commissioning bespoke.</t>
  </si>
  <si>
    <t xml:space="preserve">Gap</t>
  </si>
  <si>
    <t xml:space="preserve">INR lakh/yr</t>
  </si>
  <si>
    <t xml:space="preserve">Positive means the assumed price exceeds what the biggest customer can justify.</t>
  </si>
  <si>
    <t xml:space="preserve">Reading it honestly</t>
  </si>
  <si>
    <t xml:space="preserve">The producer market is listable but small, and the base annual contract value assumed here exceeds the break-even for the largest plausible tenant. Either the price is too high, or the largest government producers are not the segment the product is for. Two conversations with accredited producers would settle it, and would also replace the addressable share in both models — the weakest input in this entire workbook, and the one that moves the answer most.</t>
  </si>
  <si>
    <t xml:space="preserve">Product Build — What Moves the Number</t>
  </si>
  <si>
    <t xml:space="preserve">Same treatment the IPC estimate gets. Each row is a re-run of the simulation, not a multiplier.</t>
  </si>
  <si>
    <t xml:space="preserve">Rank</t>
  </si>
  <si>
    <t xml:space="preserve">Variable</t>
  </si>
  <si>
    <t xml:space="preserve">Range tested</t>
  </si>
  <si>
    <t xml:space="preserve">P80 low (PD)</t>
  </si>
  <si>
    <t xml:space="preserve">P80 high (PD)</t>
  </si>
  <si>
    <t xml:space="preserve">Swing (PD)</t>
  </si>
  <si>
    <t xml:space="preserve">Reading</t>
  </si>
  <si>
    <t xml:space="preserve">Overall estimate accuracy</t>
  </si>
  <si>
    <t xml:space="preserve">every module ±30%</t>
  </si>
  <si>
    <t xml:space="preserve">Dominates: the estimate's own accuracy, not any single decision.</t>
  </si>
  <si>
    <t xml:space="preserve">Exogenous risks realised</t>
  </si>
  <si>
    <t xml:space="preserve">none fire vs all fire</t>
  </si>
  <si>
    <t xml:space="preserve">Multi-tenancy depth</t>
  </si>
  <si>
    <t xml:space="preserve">row isolation vs per-tenant keys</t>
  </si>
  <si>
    <t xml:space="preserve">Certificate templating</t>
  </si>
  <si>
    <t xml:space="preserve">one format vs a designer</t>
  </si>
  <si>
    <t xml:space="preserve">Correlation between modules</t>
  </si>
  <si>
    <t xml:space="preserve">independent vs strongly coupled</t>
  </si>
  <si>
    <t xml:space="preserve">Field applications</t>
  </si>
  <si>
    <t xml:space="preserve">dropped vs both shipped</t>
  </si>
  <si>
    <t xml:space="preserve">P80 baseline for comparison</t>
  </si>
  <si>
    <t xml:space="preserve">Product Build — Funding, Ramp and Cross-check</t>
  </si>
  <si>
    <t xml:space="preserve">The IPC number is defended six ways. This gives the product number the same treatment.</t>
  </si>
  <si>
    <t xml:space="preserve">MONTHLY PROFILE — 12-month build at P80</t>
  </si>
  <si>
    <t xml:space="preserve">Line</t>
  </si>
  <si>
    <t xml:space="preserve">M5</t>
  </si>
  <si>
    <t xml:space="preserve">M6</t>
  </si>
  <si>
    <t xml:space="preserve">Ramp weight (relative)</t>
  </si>
  <si>
    <t xml:space="preserve">Peaks mid-build, tapers into hardening.</t>
  </si>
  <si>
    <t xml:space="preserve">Person-days</t>
  </si>
  <si>
    <t xml:space="preserve">C4</t>
  </si>
  <si>
    <t xml:space="preserve">Spend (INR lakh)</t>
  </si>
  <si>
    <t xml:space="preserve">Peak FTE</t>
  </si>
  <si>
    <t xml:space="preserve">First six months shown; the profile is symmetric thereafter.</t>
  </si>
  <si>
    <t xml:space="preserve">Total build cost (INR Cr)</t>
  </si>
  <si>
    <t xml:space="preserve">Peak funding required before first revenue (INR Cr)</t>
  </si>
  <si>
    <t xml:space="preserve">No customer revenue during the build, so peak funding equals the whole build. That is the number to raise or absorb.</t>
  </si>
  <si>
    <t xml:space="preserve">INDEPENDENT CROSS-CHECK — screen and entity count</t>
  </si>
  <si>
    <t xml:space="preserve">Artefact</t>
  </si>
  <si>
    <t xml:space="preserve">PD each</t>
  </si>
  <si>
    <t xml:space="preserve">Total (PD)</t>
  </si>
  <si>
    <t xml:space="preserve">Application screens</t>
  </si>
  <si>
    <t xml:space="preserve">Design, build, test, accessibility per screen</t>
  </si>
  <si>
    <t xml:space="preserve">Domain entities with full lifecycle</t>
  </si>
  <si>
    <t xml:space="preserve">Schema, validation, state machine, audit</t>
  </si>
  <si>
    <t xml:space="preserve">Integration surfaces</t>
  </si>
  <si>
    <t xml:space="preserve">LIMS, ERP, courier, payment, identity, e-invoicing</t>
  </si>
  <si>
    <t xml:space="preserve">Statistical routines</t>
  </si>
  <si>
    <t xml:space="preserve">ANOVA, regression, consensus, budget, tornado, holder list</t>
  </si>
  <si>
    <t xml:space="preserve">Compliance artefacts</t>
  </si>
  <si>
    <t xml:space="preserve">Clause map, validation pack, retention, residency</t>
  </si>
  <si>
    <t xml:space="preserve">Cross-check total (PD)</t>
  </si>
  <si>
    <t xml:space="preserve">Bottom-up P80 (PD)</t>
  </si>
  <si>
    <t xml:space="preserve">Divergence</t>
  </si>
  <si>
    <t xml:space="preserve">Two methods built from different primitives. A divergence under about 20% is agreement; beyond that, reconcile before committing.</t>
  </si>
  <si>
    <t xml:space="preserve">Workstream A-G  |  Mobile App for IPRS/IMPRS + Admin Console</t>
  </si>
  <si>
    <t xml:space="preserve">Pink = scope the document omits. Green = scope found only by inspecting the live estate. Sigma = (Pess - Opt) / 6.</t>
  </si>
  <si>
    <t xml:space="preserve">Workstream / Module</t>
  </si>
  <si>
    <t xml:space="preserve">Notes</t>
  </si>
  <si>
    <t xml:space="preserve">A</t>
  </si>
  <si>
    <t xml:space="preserve">Discovery &amp; Architecture</t>
  </si>
  <si>
    <t xml:space="preserve">Requirements elaboration, SRS and traceability matrix</t>
  </si>
  <si>
    <t xml:space="preserve">Doc A</t>
  </si>
  <si>
    <t xml:space="preserve">39 obligations, no acceptance criteria.</t>
  </si>
  <si>
    <t xml:space="preserve">Solution architecture, domain model, integration contracts</t>
  </si>
  <si>
    <t xml:space="preserve">Must resolve catalogue ownership against the OpenCart estate.</t>
  </si>
  <si>
    <t xml:space="preserve">A subtotal</t>
  </si>
  <si>
    <t xml:space="preserve">B</t>
  </si>
  <si>
    <t xml:space="preserve">Experience Design</t>
  </si>
  <si>
    <t xml:space="preserve">Design system and accessible mobile UI kit</t>
  </si>
  <si>
    <t xml:space="preserve">Doc A §7</t>
  </si>
  <si>
    <t xml:space="preserve">WCAG 2.1 AA assumed; Doc A omits the level.</t>
  </si>
  <si>
    <t xml:space="preserve">Mobile screen design, ~55 screens, two platforms</t>
  </si>
  <si>
    <t xml:space="preserve">Admin console design, ~40 screens, four roles</t>
  </si>
  <si>
    <t xml:space="preserve">Doc A §6</t>
  </si>
  <si>
    <t xml:space="preserve">B subtotal</t>
  </si>
  <si>
    <t xml:space="preserve">C</t>
  </si>
  <si>
    <t xml:space="preserve">Mobile Application (iOS + Android)</t>
  </si>
  <si>
    <t xml:space="preserve">App foundation, navigation, state, mobile CI/CD</t>
  </si>
  <si>
    <t xml:space="preserve">Registration, OTP, biometric, MFA, institutional onboarding</t>
  </si>
  <si>
    <t xml:space="preserve">Doc A §1</t>
  </si>
  <si>
    <t xml:space="preserve">GSTIN validation assumed in scope.</t>
  </si>
  <si>
    <t xml:space="preserve">IPRS/IMPRS catalogue, lot detail, CoA / LVS / SDS viewer</t>
  </si>
  <si>
    <t xml:space="preserve">Doc A §2.1</t>
  </si>
  <si>
    <t xml:space="preserve">Verified 1,341 priced SKUs across the two published lists.</t>
  </si>
  <si>
    <t xml:space="preserve">Publications and subscriptions, edition history, renewals</t>
  </si>
  <si>
    <t xml:space="preserve">Doc A §2.2</t>
  </si>
  <si>
    <t xml:space="preserve">Overlaps the portal catalogue — see Unification.</t>
  </si>
  <si>
    <t xml:space="preserve">C5</t>
  </si>
  <si>
    <t xml:space="preserve">Smart search, filters, predictive, voice, recommendations</t>
  </si>
  <si>
    <t xml:space="preserve">Doc A §3.1</t>
  </si>
  <si>
    <t xml:space="preserve">C6</t>
  </si>
  <si>
    <t xml:space="preserve">Cart, checkout and order lifecycle</t>
  </si>
  <si>
    <t xml:space="preserve">NOT IN DOC</t>
  </si>
  <si>
    <t xml:space="preserve">GAP: Doc A defines no ordering journey despite being a sales app.</t>
  </si>
  <si>
    <t xml:space="preserve">C7</t>
  </si>
  <si>
    <t xml:space="preserve">Payment: gateway SDK, UPI, cards, netbanking, PO approval</t>
  </si>
  <si>
    <t xml:space="preserve">Doc A §4</t>
  </si>
  <si>
    <t xml:space="preserve">PCI scope assumed SAQ-A via hosted fields.</t>
  </si>
  <si>
    <t xml:space="preserve">C8</t>
  </si>
  <si>
    <t xml:space="preserve">Notifications: push, SMS, email, preference centre</t>
  </si>
  <si>
    <t xml:space="preserve">Doc A §5.1</t>
  </si>
  <si>
    <t xml:space="preserve">C9</t>
  </si>
  <si>
    <t xml:space="preserve">Feedback, support ticketing, FAQ, self-help</t>
  </si>
  <si>
    <t xml:space="preserve">Doc A §5.3</t>
  </si>
  <si>
    <t xml:space="preserve">C10</t>
  </si>
  <si>
    <t xml:space="preserve">Accessibility engineering to WCAG 2.1 AA, both platforms</t>
  </si>
  <si>
    <t xml:space="preserve">C11</t>
  </si>
  <si>
    <t xml:space="preserve">GIGW 3.0 mobile conformance and CERT-In cyber chapter</t>
  </si>
  <si>
    <t xml:space="preserve">GAP: GIGW 3.0's cybersecurity chapter explicitly covers mobile apps. Doc A never cites GIGW.</t>
  </si>
  <si>
    <t xml:space="preserve">C12</t>
  </si>
  <si>
    <t xml:space="preserve">App hardening: pinning, root detection, obfuscation, cache</t>
  </si>
  <si>
    <t xml:space="preserve">C13</t>
  </si>
  <si>
    <t xml:space="preserve">Store submission, release engineering, phased rollout</t>
  </si>
  <si>
    <t xml:space="preserve">Doc A's simultaneous-release clause is not achievable through store review.</t>
  </si>
  <si>
    <t xml:space="preserve">C subtotal</t>
  </si>
  <si>
    <t xml:space="preserve">D</t>
  </si>
  <si>
    <t xml:space="preserve">Admin Console (web)</t>
  </si>
  <si>
    <t xml:space="preserve">Console foundation, four-role RBAC, audit instrumentation</t>
  </si>
  <si>
    <t xml:space="preserve">IPRS Admin: lots, batches, expiry, stock signals</t>
  </si>
  <si>
    <t xml:space="preserve">CoA and Lot Validity Statement generation engine</t>
  </si>
  <si>
    <t xml:space="preserve">Price-tier engine and government-organisation assignment</t>
  </si>
  <si>
    <t xml:space="preserve">REDUCED from v1: IPC already publishes a two-tier price list at exactly 50%. This is tier assignment, not a discount engine.</t>
  </si>
  <si>
    <t xml:space="preserve">Verification workflow: document review, approval, revalidation</t>
  </si>
  <si>
    <t xml:space="preserve">This, not the arithmetic, is the real control.</t>
  </si>
  <si>
    <t xml:space="preserve">Dispatch Admin: scheduling, couriers, slips, tracking</t>
  </si>
  <si>
    <t xml:space="preserve">Cold-chain handling absent from Doc A — risk K11.</t>
  </si>
  <si>
    <t xml:space="preserve">D7</t>
  </si>
  <si>
    <t xml:space="preserve">Order management console, refunds, cancellations</t>
  </si>
  <si>
    <t xml:space="preserve">D8</t>
  </si>
  <si>
    <t xml:space="preserve">User management and registration logs</t>
  </si>
  <si>
    <t xml:space="preserve">D9</t>
  </si>
  <si>
    <t xml:space="preserve">Notification console: templates, scheduling, delivery reports</t>
  </si>
  <si>
    <t xml:space="preserve">Doc A §5.2</t>
  </si>
  <si>
    <t xml:space="preserve">D10</t>
  </si>
  <si>
    <t xml:space="preserve">Feedback and ticket management, escalation</t>
  </si>
  <si>
    <t xml:space="preserve">Doc A §5.4</t>
  </si>
  <si>
    <t xml:space="preserve">D11</t>
  </si>
  <si>
    <t xml:space="preserve">Search analytics and demand reporting</t>
  </si>
  <si>
    <t xml:space="preserve">Doc A §3.2</t>
  </si>
  <si>
    <t xml:space="preserve">D12</t>
  </si>
  <si>
    <t xml:space="preserve">Reporting engine, role-scoped, PDF/Excel, scheduling</t>
  </si>
  <si>
    <t xml:space="preserve">D13</t>
  </si>
  <si>
    <t xml:space="preserve">Immutable audit log: append-only, hash-chained, exportable</t>
  </si>
  <si>
    <t xml:space="preserve">Required nine times with no technical means specified.</t>
  </si>
  <si>
    <t xml:space="preserve">D subtotal</t>
  </si>
  <si>
    <t xml:space="preserve">E</t>
  </si>
  <si>
    <t xml:space="preserve">Platform &amp; Integration</t>
  </si>
  <si>
    <t xml:space="preserve">E1</t>
  </si>
  <si>
    <t xml:space="preserve">API platform: catalogue, lot, order, identity services</t>
  </si>
  <si>
    <t xml:space="preserve">E2</t>
  </si>
  <si>
    <t xml:space="preserve">Document generation: CoA, LVS, GST invoice, dispatch slip</t>
  </si>
  <si>
    <t xml:space="preserve">E3</t>
  </si>
  <si>
    <t xml:space="preserve">Payment gateway and settlement reconciliation</t>
  </si>
  <si>
    <t xml:space="preserve">E4</t>
  </si>
  <si>
    <t xml:space="preserve">Courier API integration and tracking webhooks</t>
  </si>
  <si>
    <t xml:space="preserve">E5</t>
  </si>
  <si>
    <t xml:space="preserve">Tally / ERP posting, reconciliation, GST e-invoicing (IRN)</t>
  </si>
  <si>
    <t xml:space="preserve">IRN generation is unmentioned in Doc A but mandatory above threshold.</t>
  </si>
  <si>
    <t xml:space="preserve">E6</t>
  </si>
  <si>
    <t xml:space="preserve">Pin-code serviceability API</t>
  </si>
  <si>
    <t xml:space="preserve">E7</t>
  </si>
  <si>
    <t xml:space="preserve">SMS and email integration incl. TRAI DLT registration</t>
  </si>
  <si>
    <t xml:space="preserve">DLT is mandatory in India and unmentioned.</t>
  </si>
  <si>
    <t xml:space="preserve">E8</t>
  </si>
  <si>
    <t xml:space="preserve">IP Online federation and SSO</t>
  </si>
  <si>
    <t xml:space="preserve">Verified target: iponline.ipc.gov.in is a separate live system.</t>
  </si>
  <si>
    <t xml:space="preserve">E9</t>
  </si>
  <si>
    <t xml:space="preserve">LIMS / QC ingest to source Certificate of Analysis data</t>
  </si>
  <si>
    <t xml:space="preserve">GAP CONFIRMED: lot data is published today as a manually maintained PDF. There is no evident digital source for CoA content.</t>
  </si>
  <si>
    <t xml:space="preserve">E10</t>
  </si>
  <si>
    <t xml:space="preserve">Five-lot history backfill and lot data structuring</t>
  </si>
  <si>
    <t xml:space="preserve">GAP: IPC publishes one previous lot; Doc A requires five.</t>
  </si>
  <si>
    <t xml:space="preserve">E11</t>
  </si>
  <si>
    <t xml:space="preserve">Infrastructure, IaC, environments, CI/CD, observability, DR</t>
  </si>
  <si>
    <t xml:space="preserve">RTO/RPO undefined in Doc A; Doc B values assumed.</t>
  </si>
  <si>
    <t xml:space="preserve">E12</t>
  </si>
  <si>
    <t xml:space="preserve">Security engineering, CERT-In audit support, VAPT</t>
  </si>
  <si>
    <t xml:space="preserve">E subtotal</t>
  </si>
  <si>
    <t xml:space="preserve">F</t>
  </si>
  <si>
    <t xml:space="preserve">Quality Assurance</t>
  </si>
  <si>
    <t xml:space="preserve">Test strategy, cases, RTM linkage</t>
  </si>
  <si>
    <t xml:space="preserve">Functional and regression testing</t>
  </si>
  <si>
    <t xml:space="preserve">F3</t>
  </si>
  <si>
    <t xml:space="preserve">Test automation: API, UI, device farm</t>
  </si>
  <si>
    <t xml:space="preserve">F4</t>
  </si>
  <si>
    <t xml:space="preserve">Performance and load testing</t>
  </si>
  <si>
    <t xml:space="preserve">No volumetrics stated; thresholds must be agreed.</t>
  </si>
  <si>
    <t xml:space="preserve">F5</t>
  </si>
  <si>
    <t xml:space="preserve">Accessibility conformance testing and remediation</t>
  </si>
  <si>
    <t xml:space="preserve">F6</t>
  </si>
  <si>
    <t xml:space="preserve">Security testing and two VAPT cycles</t>
  </si>
  <si>
    <t xml:space="preserve">F7</t>
  </si>
  <si>
    <t xml:space="preserve">UAT support and defect triage</t>
  </si>
  <si>
    <t xml:space="preserve">F subtotal</t>
  </si>
  <si>
    <t xml:space="preserve">G</t>
  </si>
  <si>
    <t xml:space="preserve">Programme Management &amp; Enablement</t>
  </si>
  <si>
    <t xml:space="preserve">G1</t>
  </si>
  <si>
    <t xml:space="preserve">Programme and delivery management</t>
  </si>
  <si>
    <t xml:space="preserve">—</t>
  </si>
  <si>
    <t xml:space="preserve">G2</t>
  </si>
  <si>
    <t xml:space="preserve">Business analysis and requirements governance</t>
  </si>
  <si>
    <t xml:space="preserve">G3</t>
  </si>
  <si>
    <t xml:space="preserve">Documentation: SRS, HLD, LLD, manuals, SOPs</t>
  </si>
  <si>
    <t xml:space="preserve">G4</t>
  </si>
  <si>
    <t xml:space="preserve">Training and train-the-trainer, four admin roles</t>
  </si>
  <si>
    <t xml:space="preserve">G5</t>
  </si>
  <si>
    <t xml:space="preserve">Go-live, cutover, eight-week hypercare</t>
  </si>
  <si>
    <t xml:space="preserve">G subtotal</t>
  </si>
  <si>
    <t xml:space="preserve">TOTAL BASE EFFORT (P50, before risk reserve)</t>
  </si>
  <si>
    <t xml:space="preserve">Workstream H-S  |  Website Redesign, Replatform and Migration</t>
  </si>
  <si>
    <t xml:space="preserve">H</t>
  </si>
  <si>
    <t xml:space="preserve">Discovery &amp; Content Strategy</t>
  </si>
  <si>
    <t xml:space="preserve">H1</t>
  </si>
  <si>
    <t xml:space="preserve">Discovery, workshops, information architecture, sitemap</t>
  </si>
  <si>
    <t xml:space="preserve">Doc B §1.1</t>
  </si>
  <si>
    <t xml:space="preserve">H2</t>
  </si>
  <si>
    <t xml:space="preserve">Content audit and migration plan</t>
  </si>
  <si>
    <t xml:space="preserve">GAP, but now scoped from the live estate rather than assumed.</t>
  </si>
  <si>
    <t xml:space="preserve">H subtotal</t>
  </si>
  <si>
    <t xml:space="preserve">I</t>
  </si>
  <si>
    <t xml:space="preserve">I1</t>
  </si>
  <si>
    <t xml:space="preserve">GIGW 3.0 / DBIM design system, bilingual type and grid</t>
  </si>
  <si>
    <t xml:space="preserve">88 mandatory GIGW guidelines across four domains.</t>
  </si>
  <si>
    <t xml:space="preserve">I2</t>
  </si>
  <si>
    <t xml:space="preserve">Template design, ~28 page templates</t>
  </si>
  <si>
    <t xml:space="preserve">Doc B §1.3</t>
  </si>
  <si>
    <t xml:space="preserve">I3</t>
  </si>
  <si>
    <t xml:space="preserve">Commerce and account journey design</t>
  </si>
  <si>
    <t xml:space="preserve">Doc B §1.7</t>
  </si>
  <si>
    <t xml:space="preserve">I subtotal</t>
  </si>
  <si>
    <t xml:space="preserve">J</t>
  </si>
  <si>
    <t xml:space="preserve">CMS Platform</t>
  </si>
  <si>
    <t xml:space="preserve">J1</t>
  </si>
  <si>
    <t xml:space="preserve">CMS platform setup, hardening, environments</t>
  </si>
  <si>
    <t xml:space="preserve">Doc B §1.2</t>
  </si>
  <si>
    <t xml:space="preserve">Replaces Joomla.</t>
  </si>
  <si>
    <t xml:space="preserve">J2</t>
  </si>
  <si>
    <t xml:space="preserve">RBAC and editorial approval workflow</t>
  </si>
  <si>
    <t xml:space="preserve">Doc B §1.2.1</t>
  </si>
  <si>
    <t xml:space="preserve">J3</t>
  </si>
  <si>
    <t xml:space="preserve">Bilingual WYSIWYG authoring, spellcheck, media embed</t>
  </si>
  <si>
    <t xml:space="preserve">J4</t>
  </si>
  <si>
    <t xml:space="preserve">Scheduling, auto-publish, auto-expire, expiry alerts</t>
  </si>
  <si>
    <t xml:space="preserve">J5</t>
  </si>
  <si>
    <t xml:space="preserve">Backup, versioning, rollback, version compare</t>
  </si>
  <si>
    <t xml:space="preserve">J6</t>
  </si>
  <si>
    <t xml:space="preserve">Immutable CMS audit trail and exportable logs</t>
  </si>
  <si>
    <t xml:space="preserve">J7</t>
  </si>
  <si>
    <t xml:space="preserve">Archival engine: rules, retention, archive section, labelling</t>
  </si>
  <si>
    <t xml:space="preserve">Doc B §1.2.4</t>
  </si>
  <si>
    <t xml:space="preserve">Live estate shows a 2023 G20 banner and a 2019 site map — the requirement is well founded.</t>
  </si>
  <si>
    <t xml:space="preserve">J subtotal</t>
  </si>
  <si>
    <t xml:space="preserve">K</t>
  </si>
  <si>
    <t xml:space="preserve">Content, Multimedia &amp; Facilities</t>
  </si>
  <si>
    <t xml:space="preserve">K1</t>
  </si>
  <si>
    <t xml:space="preserve">Video platform integration, player, captions, transcripts</t>
  </si>
  <si>
    <t xml:space="preserve">Doc B §1.2.2</t>
  </si>
  <si>
    <t xml:space="preserve">K2</t>
  </si>
  <si>
    <t xml:space="preserve">Image wizard: gallery, resize, alt text, bulk upload</t>
  </si>
  <si>
    <t xml:space="preserve">K3</t>
  </si>
  <si>
    <t xml:space="preserve">Document management: versioning, indexing, secure download</t>
  </si>
  <si>
    <t xml:space="preserve">Doc B §1.2.3</t>
  </si>
  <si>
    <t xml:space="preserve">K4</t>
  </si>
  <si>
    <t xml:space="preserve">Event calendar, registration, reminders, archive</t>
  </si>
  <si>
    <t xml:space="preserve">K5</t>
  </si>
  <si>
    <t xml:space="preserve">FAQ and glossary modules</t>
  </si>
  <si>
    <t xml:space="preserve">K6</t>
  </si>
  <si>
    <t xml:space="preserve">Polls and visitor survey with analytics</t>
  </si>
  <si>
    <t xml:space="preserve">K7</t>
  </si>
  <si>
    <t xml:space="preserve">Public forum: threads, moderation, reputation, redressal</t>
  </si>
  <si>
    <t xml:space="preserve">Largest CMS module; heaviest moderation risk.</t>
  </si>
  <si>
    <t xml:space="preserve">K8</t>
  </si>
  <si>
    <t xml:space="preserve">Recruitment form, tracking, export, HR dashboard</t>
  </si>
  <si>
    <t xml:space="preserve">K subtotal</t>
  </si>
  <si>
    <t xml:space="preserve">L</t>
  </si>
  <si>
    <t xml:space="preserve">Frontend &amp; Engagement</t>
  </si>
  <si>
    <t xml:space="preserve">L1</t>
  </si>
  <si>
    <t xml:space="preserve">Templates, mega menu, breadcrumbs, sticky nav, cards</t>
  </si>
  <si>
    <t xml:space="preserve">Doc B §1.3.1</t>
  </si>
  <si>
    <t xml:space="preserve">L2</t>
  </si>
  <si>
    <t xml:space="preserve">Personalisation widgets, quick tiles, one-click downloads</t>
  </si>
  <si>
    <t xml:space="preserve">Doc B §1.3.3</t>
  </si>
  <si>
    <t xml:space="preserve">L3</t>
  </si>
  <si>
    <t xml:space="preserve">Bilingual framework and language toggle</t>
  </si>
  <si>
    <t xml:space="preserve">REDUCED from v1: a Hindi site already exists at /hi/.</t>
  </si>
  <si>
    <t xml:space="preserve">L4</t>
  </si>
  <si>
    <t xml:space="preserve">Accessibility engineering to WCAG 2.1 AA</t>
  </si>
  <si>
    <t xml:space="preserve">L subtotal</t>
  </si>
  <si>
    <t xml:space="preserve">M</t>
  </si>
  <si>
    <t xml:space="preserve">Search &amp; AI Layer</t>
  </si>
  <si>
    <t xml:space="preserve">Search platform, indexing, multilingual facets, relevance</t>
  </si>
  <si>
    <t xml:space="preserve">Doc B §1.3.2</t>
  </si>
  <si>
    <t xml:space="preserve">Semantic / vector search and recommendations</t>
  </si>
  <si>
    <t xml:space="preserve">Voice search and text-to-speech / speech-to-text</t>
  </si>
  <si>
    <t xml:space="preserve">Chatbot assistant: retrieval, guardrails, escalation</t>
  </si>
  <si>
    <t xml:space="preserve">Regulatory Q&amp;A on drug alerts demands strict grounding.</t>
  </si>
  <si>
    <t xml:space="preserve">AI auto-tagging and document classification</t>
  </si>
  <si>
    <t xml:space="preserve">AI moderation: spam, misuse, fraud detection</t>
  </si>
  <si>
    <t xml:space="preserve">M7</t>
  </si>
  <si>
    <t xml:space="preserve">AI governance: evaluation harness, accuracy testing, HITL</t>
  </si>
  <si>
    <t xml:space="preserve">GAP: seven AI features mandated with no accuracy or safety criteria.</t>
  </si>
  <si>
    <t xml:space="preserve">M subtotal</t>
  </si>
  <si>
    <t xml:space="preserve">N</t>
  </si>
  <si>
    <t xml:space="preserve">E-Commerce (replatform)</t>
  </si>
  <si>
    <t xml:space="preserve">N1</t>
  </si>
  <si>
    <t xml:space="preserve">Catalogue, categories, filters, bulk upload, versioning</t>
  </si>
  <si>
    <t xml:space="preserve">Doc B §1.7.1</t>
  </si>
  <si>
    <t xml:space="preserve">N2</t>
  </si>
  <si>
    <t xml:space="preserve">Catalogue data onboarding: 1,341 SKUs, lots, two price tiers</t>
  </si>
  <si>
    <t xml:space="preserve">NEW</t>
  </si>
  <si>
    <t xml:space="preserve">NEW: verified 702 IPRS + 639 IMPRS, currently maintained as PDFs.</t>
  </si>
  <si>
    <t xml:space="preserve">N3</t>
  </si>
  <si>
    <t xml:space="preserve">Cart, checkout, address, shipping, tax, persistence, reorder</t>
  </si>
  <si>
    <t xml:space="preserve">Doc B §1.7.2</t>
  </si>
  <si>
    <t xml:space="preserve">N4</t>
  </si>
  <si>
    <t xml:space="preserve">Payment gateway, multi-currency, retries, reconciliation</t>
  </si>
  <si>
    <t xml:space="preserve">Doc B §1.7.3</t>
  </si>
  <si>
    <t xml:space="preserve">N5</t>
  </si>
  <si>
    <t xml:space="preserve">Order management, notifications, refunds, reports</t>
  </si>
  <si>
    <t xml:space="preserve">Doc B §1.7.4</t>
  </si>
  <si>
    <t xml:space="preserve">N6</t>
  </si>
  <si>
    <t xml:space="preserve">Customer accounts, history, invoices, subscriptions, tracking</t>
  </si>
  <si>
    <t xml:space="preserve">Doc B §1.7.5</t>
  </si>
  <si>
    <t xml:space="preserve">N7</t>
  </si>
  <si>
    <t xml:space="preserve">Promotions, discount codes, scheduling, banners</t>
  </si>
  <si>
    <t xml:space="preserve">Doc B §1.7.6</t>
  </si>
  <si>
    <t xml:space="preserve">N8</t>
  </si>
  <si>
    <t xml:space="preserve">Sales analytics, funnels, dashboards</t>
  </si>
  <si>
    <t xml:space="preserve">Doc B §1.7.8</t>
  </si>
  <si>
    <t xml:space="preserve">N9</t>
  </si>
  <si>
    <t xml:space="preserve">OpenCart data migration: products, customers, order history</t>
  </si>
  <si>
    <t xml:space="preserve">NEW: the existing shop is live OpenCart. Neither document mentions migrating its data.</t>
  </si>
  <si>
    <t xml:space="preserve">N subtotal</t>
  </si>
  <si>
    <t xml:space="preserve">O</t>
  </si>
  <si>
    <t xml:space="preserve">Analytics, Communication &amp; Integration</t>
  </si>
  <si>
    <t xml:space="preserve">O1</t>
  </si>
  <si>
    <t xml:space="preserve">Visitor analytics, event and journey tracking</t>
  </si>
  <si>
    <t xml:space="preserve">Doc B §1.4.1</t>
  </si>
  <si>
    <t xml:space="preserve">O2</t>
  </si>
  <si>
    <t xml:space="preserve">Heatmaps, funnel and behavioural analytics</t>
  </si>
  <si>
    <t xml:space="preserve">Doc B §1.4.3</t>
  </si>
  <si>
    <t xml:space="preserve">O3</t>
  </si>
  <si>
    <t xml:space="preserve">MIS dashboard: widgets, drill-down, scheduled reports</t>
  </si>
  <si>
    <t xml:space="preserve">Doc B §1.4.4</t>
  </si>
  <si>
    <t xml:space="preserve">O4</t>
  </si>
  <si>
    <t xml:space="preserve">DPDP consent management and Consent Manager integration</t>
  </si>
  <si>
    <t xml:space="preserve">Doc B §1.4.5</t>
  </si>
  <si>
    <t xml:space="preserve">EXPANDED: Rules notified 13 Nov 2025; full compliance due 13 May 2027.</t>
  </si>
  <si>
    <t xml:space="preserve">O5</t>
  </si>
  <si>
    <t xml:space="preserve">Transactional and promotional SMS/email, bilingual, analytics</t>
  </si>
  <si>
    <t xml:space="preserve">Doc B §1.5</t>
  </si>
  <si>
    <t xml:space="preserve">O6</t>
  </si>
  <si>
    <t xml:space="preserve">IP Online / PvPI integration and SSO across IPC portals</t>
  </si>
  <si>
    <t xml:space="preserve">Doc B §1.6</t>
  </si>
  <si>
    <t xml:space="preserve">O subtotal</t>
  </si>
  <si>
    <t xml:space="preserve">P</t>
  </si>
  <si>
    <t xml:space="preserve">Content Migration</t>
  </si>
  <si>
    <t xml:space="preserve">Migration tooling and mapping, Joomla to target</t>
  </si>
  <si>
    <t xml:space="preserve">GAP, now scoped: ~137 English menu pages plus Hindi mirror.</t>
  </si>
  <si>
    <t xml:space="preserve">Article and document migration, ~1,500 items, plus QA</t>
  </si>
  <si>
    <t xml:space="preserve">GAP, now scoped: Joomla article IDs run past 1,500.</t>
  </si>
  <si>
    <t xml:space="preserve">Hindi coverage completion and bilingual QA</t>
  </si>
  <si>
    <t xml:space="preserve">REDUCED: Hindi site already exists.</t>
  </si>
  <si>
    <t xml:space="preserve">URL redirect mapping and SEO preservation</t>
  </si>
  <si>
    <t xml:space="preserve">GAP: omitting this loses inbound links at cutover.</t>
  </si>
  <si>
    <t xml:space="preserve">P subtotal</t>
  </si>
  <si>
    <t xml:space="preserve">Q</t>
  </si>
  <si>
    <t xml:space="preserve">Infrastructure, Security &amp; Certification</t>
  </si>
  <si>
    <t xml:space="preserve">NIC / MeitY hosting provisioning, IaC, environments</t>
  </si>
  <si>
    <t xml:space="preserve">Doc B §3.1</t>
  </si>
  <si>
    <t xml:space="preserve">DR site, replication, failover, drill runbooks</t>
  </si>
  <si>
    <t xml:space="preserve">Doc B §3.3</t>
  </si>
  <si>
    <t xml:space="preserve">RTO under 4h, RPO under 15min.</t>
  </si>
  <si>
    <t xml:space="preserve">Monitoring, IDPS, alerting, SOC handover</t>
  </si>
  <si>
    <t xml:space="preserve">Doc B §2.3</t>
  </si>
  <si>
    <t xml:space="preserve">Security engineering and two VAPT cycles</t>
  </si>
  <si>
    <t xml:space="preserve">Doc B §2.4</t>
  </si>
  <si>
    <t xml:space="preserve">GIGW 3.0 conformance and STQC CQW certification support</t>
  </si>
  <si>
    <t xml:space="preserve">EXPANDED: 88 mandatory guidelines; CQW involves document review plus frontend and backend testing.</t>
  </si>
  <si>
    <t xml:space="preserve">Q subtotal</t>
  </si>
  <si>
    <t xml:space="preserve">R</t>
  </si>
  <si>
    <t xml:space="preserve">R1</t>
  </si>
  <si>
    <t xml:space="preserve">Test strategy, cases, RTM across 152 obligations</t>
  </si>
  <si>
    <t xml:space="preserve">Doc B</t>
  </si>
  <si>
    <t xml:space="preserve">R2</t>
  </si>
  <si>
    <t xml:space="preserve">R3</t>
  </si>
  <si>
    <t xml:space="preserve">Test automation</t>
  </si>
  <si>
    <t xml:space="preserve">R4</t>
  </si>
  <si>
    <t xml:space="preserve">Doc B §3.2</t>
  </si>
  <si>
    <t xml:space="preserve">Stated sizing is current traffic, not a peak-concurrency basis.</t>
  </si>
  <si>
    <t xml:space="preserve">R5</t>
  </si>
  <si>
    <t xml:space="preserve">R6</t>
  </si>
  <si>
    <t xml:space="preserve">Bilingual content and cross-browser testing</t>
  </si>
  <si>
    <t xml:space="preserve">R7</t>
  </si>
  <si>
    <t xml:space="preserve">R subtotal</t>
  </si>
  <si>
    <t xml:space="preserve">S</t>
  </si>
  <si>
    <t xml:space="preserve">S1</t>
  </si>
  <si>
    <t xml:space="preserve">S2</t>
  </si>
  <si>
    <t xml:space="preserve">Business analysis and content governance</t>
  </si>
  <si>
    <t xml:space="preserve">S3</t>
  </si>
  <si>
    <t xml:space="preserve">S4</t>
  </si>
  <si>
    <t xml:space="preserve">Training and train-the-trainer</t>
  </si>
  <si>
    <t xml:space="preserve">S5</t>
  </si>
  <si>
    <t xml:space="preserve">Go-live, cutover, hypercare</t>
  </si>
  <si>
    <t xml:space="preserve">S subtotal</t>
  </si>
  <si>
    <t xml:space="preserve">Confidence — Monte Carlo Simulation</t>
  </si>
  <si>
    <t xml:space="preserve">100,000 iterations. Beta-PERT marginals on every module, correlated through a Gaussian copula, with exogenous risk events sampled inside the same run. Replaces the v2 P80-plus-EMV method.</t>
  </si>
  <si>
    <t xml:space="preserve">WHY THIS REPLACES THE v2 METHOD</t>
  </si>
  <si>
    <t xml:space="preserve">Composition error</t>
  </si>
  <si>
    <t xml:space="preserve">v2 added an expected value to a P80 and labelled the sum a P80. A mean plus a percentile is neither. On this distribution the v2 figure of 3,623 PD actually sits at about P81.</t>
  </si>
  <si>
    <t xml:space="preserve">Distribution shape</t>
  </si>
  <si>
    <t xml:space="preserve">v2 implied a normal spread. Task durations are bounded below and right-skewed; a normal understates the upper tail and permits negative durations. This run uses Beta-PERT, derived from the same optimistic / likely / pessimistic values already in the model.</t>
  </si>
  <si>
    <t xml:space="preserve">Correlation</t>
  </si>
  <si>
    <t xml:space="preserve">v2 multiplied sigma by 3.5, a factor chosen by hand. Here correlation is an explicit parameter with its effect shown across four values, so the assumption is visible and testable rather than buried.</t>
  </si>
  <si>
    <t xml:space="preserve">Double counting</t>
  </si>
  <si>
    <t xml:space="preserve">v2's register charged 135 PD of expected value for requirement volatility — which is exactly what the optimistic-to-pessimistic spread on all 122 modules already encodes. It is removed, and six further risks are reduced to their marginal exposure beyond the module pessimistic.</t>
  </si>
  <si>
    <t xml:space="preserve">Savings realisation</t>
  </si>
  <si>
    <t xml:space="preserve">v2 treated the unification saving as certain. Here it is sampled at 70 to 110 per cent of nominal, since savings under-deliver more often than they over-deliver.</t>
  </si>
  <si>
    <t xml:space="preserve">SIMULATION PARAMETERS</t>
  </si>
  <si>
    <t xml:space="preserve">Iterations</t>
  </si>
  <si>
    <t xml:space="preserve">100,000</t>
  </si>
  <si>
    <t xml:space="preserve">Modules sampled</t>
  </si>
  <si>
    <t xml:space="preserve">122</t>
  </si>
  <si>
    <t xml:space="preserve">Marginal distribution</t>
  </si>
  <si>
    <t xml:space="preserve">Beta-PERT from O / M / P</t>
  </si>
  <si>
    <t xml:space="preserve">Dependence</t>
  </si>
  <si>
    <t xml:space="preserve">Gaussian copula, single common factor</t>
  </si>
  <si>
    <t xml:space="preserve">Correlation used for headline</t>
  </si>
  <si>
    <t xml:space="preserve">0.5</t>
  </si>
  <si>
    <t xml:space="preserve">Exogenous risk events</t>
  </si>
  <si>
    <t xml:space="preserve">13</t>
  </si>
  <si>
    <t xml:space="preserve">Endogenous risks removed</t>
  </si>
  <si>
    <t xml:space="preserve">K10 (requirement volatility)</t>
  </si>
  <si>
    <t xml:space="preserve">Unification saving</t>
  </si>
  <si>
    <t xml:space="preserve">524 PD, now computed from source modules, sampled 70–110%</t>
  </si>
  <si>
    <t xml:space="preserve">Random seed</t>
  </si>
  <si>
    <t xml:space="preserve">20260818 (reproducible)</t>
  </si>
  <si>
    <t xml:space="preserve">SENSITIVITY TO THE CORRELATION ASSUMPTION</t>
  </si>
  <si>
    <t xml:space="preserve">P50 (PD)</t>
  </si>
  <si>
    <t xml:space="preserve">P70 (PD)</t>
  </si>
  <si>
    <t xml:space="preserve">P80 (PD)</t>
  </si>
  <si>
    <t xml:space="preserve">P90 (PD)</t>
  </si>
  <si>
    <t xml:space="preserve">P95 (PD)</t>
  </si>
  <si>
    <t xml:space="preserve">rho = 0.0</t>
  </si>
  <si>
    <t xml:space="preserve">Independent modules. Unrealistic — one team, one client, one set of ambiguities.</t>
  </si>
  <si>
    <t xml:space="preserve">rho = 0.3</t>
  </si>
  <si>
    <t xml:space="preserve">Weak common cause. Plausible for a portfolio of unrelated projects.</t>
  </si>
  <si>
    <t xml:space="preserve">rho = 0.5</t>
  </si>
  <si>
    <t xml:space="preserve">RECOMMENDED. Single accountable team on a single programme with shared requirement risk.</t>
  </si>
  <si>
    <t xml:space="preserve">rho = 0.7</t>
  </si>
  <si>
    <t xml:space="preserve">Strong common cause. Appropriate if requirements remain unfrozen at award.</t>
  </si>
  <si>
    <t xml:space="preserve">RECOMMENDED BASIS</t>
  </si>
  <si>
    <t xml:space="preserve">Half of comparable programmes finish inside this. Never bid it.</t>
  </si>
  <si>
    <t xml:space="preserve">P80 — RECOMMENDED BID BASIS</t>
  </si>
  <si>
    <t xml:space="preserve">Standard commercial basis for a fixed-price government contract.</t>
  </si>
  <si>
    <t xml:space="preserve">Use where liquidated damages bite hard or the schedule cannot move.</t>
  </si>
  <si>
    <t xml:space="preserve">P80 with K1 resolved pre-award</t>
  </si>
  <si>
    <t xml:space="preserve">Asking one clarification question before pricing is worth 216 PD.</t>
  </si>
  <si>
    <t xml:space="preserve">Change against the v3 figure of 3,608 PD</t>
  </si>
  <si>
    <t xml:space="preserve">Moved because the unification saving is no longer 635 PD hardcoded. Computed from the modules it actually reduces, it is 524 PD — so the earlier figure over-claimed the saving and understated the effort.</t>
  </si>
  <si>
    <t xml:space="preserve">DISTRIBUTION (rho = 0.5)</t>
  </si>
  <si>
    <t xml:space="preserve">Bucket midpoint (PD)</t>
  </si>
  <si>
    <t xml:space="preserve">Iterations (count)</t>
  </si>
  <si>
    <t xml:space="preserve">Scenario C — Phase 1 Release, Modelled</t>
  </si>
  <si>
    <t xml:space="preserve">Replaces the 0.62x multiplier. Each build module is tagged to a phase; QA and programme management scale with the phase-1 build share.</t>
  </si>
  <si>
    <t xml:space="preserve">Phase</t>
  </si>
  <si>
    <t xml:space="preserve">In phase 1 (PD)</t>
  </si>
  <si>
    <t xml:space="preserve">Rationale where deferred</t>
  </si>
  <si>
    <t xml:space="preserve">Phase 1</t>
  </si>
  <si>
    <t xml:space="preserve">Phase 2</t>
  </si>
  <si>
    <t xml:space="preserve">Mobile design deferred with the app.</t>
  </si>
  <si>
    <t xml:space="preserve">Mobile app deferred; the portal carries commerce in phase 1.</t>
  </si>
  <si>
    <t xml:space="preserve">Community features deferred.</t>
  </si>
  <si>
    <t xml:space="preserve">Personalisation deferred.</t>
  </si>
  <si>
    <t xml:space="preserve">AI layer deferred; keyword and facet search ship first.</t>
  </si>
  <si>
    <t xml:space="preserve">Build subtotal</t>
  </si>
  <si>
    <t xml:space="preserve">Phase 1 share of build</t>
  </si>
  <si>
    <t xml:space="preserve">QA workstreams F and R</t>
  </si>
  <si>
    <t xml:space="preserve">Programme workstreams G and S</t>
  </si>
  <si>
    <t xml:space="preserve">Scaled QA and programme</t>
  </si>
  <si>
    <t xml:space="preserve">SCENARIO C TOTAL (P50 basis)</t>
  </si>
  <si>
    <t xml:space="preserve">Previously this row was Scenario B multiplied by 0.62. It is now the sum of the modules that actually ship first.</t>
  </si>
  <si>
    <t xml:space="preserve">Scenario D — Replatform, Modelled</t>
  </si>
  <si>
    <t xml:space="preserve">Replaces the 0.58x multiplier. Every module carries a disposition factor: what fraction survives if the live Joomla and OpenCart estate is upgraded rather than replaced.</t>
  </si>
  <si>
    <t xml:space="preserve">Factor (0–1, dimensionless)</t>
  </si>
  <si>
    <t xml:space="preserve">Retained (PD)</t>
  </si>
  <si>
    <t xml:space="preserve">Why the factor is not 1.00</t>
  </si>
  <si>
    <t xml:space="preserve">Existing platform covers part of this.</t>
  </si>
  <si>
    <t xml:space="preserve">Full redesign is the point of the exercise and survives intact.</t>
  </si>
  <si>
    <t xml:space="preserve">Joomla is upgraded in place rather than replaced by a new CMS.</t>
  </si>
  <si>
    <t xml:space="preserve">OpenCart already holds the catalogue; this becomes remodelling, not building.</t>
  </si>
  <si>
    <t xml:space="preserve">Cart and checkout exist and work today.</t>
  </si>
  <si>
    <t xml:space="preserve">Payment integration is live.</t>
  </si>
  <si>
    <t xml:space="preserve">Order management exists.</t>
  </si>
  <si>
    <t xml:space="preserve">Customer accounts exist.</t>
  </si>
  <si>
    <t xml:space="preserve">No migration needed if the engine is retained.</t>
  </si>
  <si>
    <t xml:space="preserve">No CMS change, so no cross-platform migration tooling.</t>
  </si>
  <si>
    <t xml:space="preserve">Content stays in place.</t>
  </si>
  <si>
    <t xml:space="preserve">URLs are largely unchanged, so redirect mapping collapses.</t>
  </si>
  <si>
    <t xml:space="preserve">Retained share of build</t>
  </si>
  <si>
    <t xml:space="preserve">QA and programme, scaled</t>
  </si>
  <si>
    <t xml:space="preserve">SCENARIO D TOTAL (P50 basis)</t>
  </si>
  <si>
    <t xml:space="preserve">Caveat</t>
  </si>
  <si>
    <t xml:space="preserve">Modelled, but not validated. Nobody has opened the OpenCart installation to check its version, customisation depth or upgrade path, and a heavily forked instance can cost more to upgrade than to replace. This scenario is now defensible enough to discuss; it is not yet defensible enough to bid.</t>
  </si>
  <si>
    <t xml:space="preserve">Scenario E — IPC Adopts the Product</t>
  </si>
  <si>
    <t xml:space="preserve">The scenario the workbook never had. Each IPC module carries a factor: what fraction survives once Lotmark supplies the core.</t>
  </si>
  <si>
    <t xml:space="preserve">IPC module</t>
  </si>
  <si>
    <t xml:space="preserve">Surviving (PD)</t>
  </si>
  <si>
    <t xml:space="preserve">What the product displaces</t>
  </si>
  <si>
    <t xml:space="preserve">Partly supplied by the product.</t>
  </si>
  <si>
    <t xml:space="preserve">Lot register is core product.</t>
  </si>
  <si>
    <t xml:space="preserve">Certificate engine is core product.</t>
  </si>
  <si>
    <t xml:space="preserve">Price-tier engine is core product.</t>
  </si>
  <si>
    <t xml:space="preserve">Verification workflow is core product.</t>
  </si>
  <si>
    <t xml:space="preserve">Dispatch and cold chain are core product.</t>
  </si>
  <si>
    <t xml:space="preserve">Audit ledger is core product.</t>
  </si>
  <si>
    <t xml:space="preserve">Product supplies the API platform; tenant integrations remain.</t>
  </si>
  <si>
    <t xml:space="preserve">Product ships a manual QC entry path.</t>
  </si>
  <si>
    <t xml:space="preserve">Catalogue is core product.</t>
  </si>
  <si>
    <t xml:space="preserve">Data still has to be onboarded, but into a product schema rather than a new build.</t>
  </si>
  <si>
    <t xml:space="preserve">Cart and checkout are core product.</t>
  </si>
  <si>
    <t xml:space="preserve">Order management is core product.</t>
  </si>
  <si>
    <t xml:space="preserve">OpenCart migration still required, into the product.</t>
  </si>
  <si>
    <t xml:space="preserve">Product carries monitoring; NIC-specific work remains.</t>
  </si>
  <si>
    <t xml:space="preserve">Surviving share of build</t>
  </si>
  <si>
    <t xml:space="preserve">SCENARIO E EFFORT (P50 basis)</t>
  </si>
  <si>
    <t xml:space="preserve">PLUS: product licence, per year</t>
  </si>
  <si>
    <t xml:space="preserve">INR lakh / yr</t>
  </si>
  <si>
    <t xml:space="preserve">Priced against the producer-platform model: IPC is a large tenant at 1,341 SKUs.</t>
  </si>
  <si>
    <t xml:space="preserve">Licence over five years</t>
  </si>
  <si>
    <t xml:space="preserve">What IPC still pays for regardless of route</t>
  </si>
  <si>
    <t xml:space="preserve">The portal and CMS, bilingual content, GIGW and STQC certification, content and OpenCart data migration, NIC hosting and DR, the AI layer, the mobile app shell, and PvPI integration. None of that is product scope, which is exactly why the core-versus-commodity boundary matters commercially and not just architecturally.</t>
  </si>
  <si>
    <t xml:space="preserve">ADOPT VERSUS BUILD — the decision</t>
  </si>
  <si>
    <t xml:space="preserve">Scenario B — bespoke unified build</t>
  </si>
  <si>
    <t xml:space="preserve">Scenario E — build portion</t>
  </si>
  <si>
    <t xml:space="preserve">Scenario E — licence over five years</t>
  </si>
  <si>
    <t xml:space="preserve">Scenario E — all in over five years</t>
  </si>
  <si>
    <t xml:space="preserve">BREAK-EVEN LICENCE</t>
  </si>
  <si>
    <t xml:space="preserve">Above this annual licence, IPC is cheaper commissioning a bespoke build. Below it, adopting wins.</t>
  </si>
  <si>
    <t xml:space="preserve">Adopting the product removes only about a quarter of IPC's build, because most of what IPC needs — the portal and CMS, bilingual content, migration, GIGW and STQC certification, NIC hosting, the AI layer and the mobile shell — was never product scope. At the sixty lakh a year assumed above, adoption costs MORE over five years than a bespoke build. The product has to price under the break-even for IPC to prefer it, and that figure is below the base annual contract value used in the market model — so either the market model prices too high, or IPC is not the customer the product is priced for.</t>
  </si>
  <si>
    <t xml:space="preserve">Second Method — COCOMO II Post-Architecture</t>
  </si>
  <si>
    <t xml:space="preserve">Genuinely independent of the module breakdown. Size comes from counted artefacts; every coefficient is Boehm's published calibration, not a rate chosen to agree.</t>
  </si>
  <si>
    <t xml:space="preserve">WHY THIS REPLACES THE TRIANGULATION SHEET</t>
  </si>
  <si>
    <t xml:space="preserve">The problem</t>
  </si>
  <si>
    <t xml:space="preserve">The previous sheet used a per-obligation rate and a per-screen rate that were within 3% and 10% of the values needed to reproduce the bottom-up answer. They were calibrated to agree, so the convergence corroborated nothing. It has been deleted rather than patched.</t>
  </si>
  <si>
    <t xml:space="preserve">The replacement</t>
  </si>
  <si>
    <t xml:space="preserve">Function-point sizing from counted artefacts, backfired to source lines, then Boehm's COCOMO II effort equation. Nothing in this chain reads the module estimates, so it is free to disagree — and it does.</t>
  </si>
  <si>
    <t xml:space="preserve">STEP 1 — FUNCTION POINT COUNT</t>
  </si>
  <si>
    <t xml:space="preserve">Component</t>
  </si>
  <si>
    <t xml:space="preserve">Count (items)</t>
  </si>
  <si>
    <t xml:space="preserve">FP weight (dimensionless)</t>
  </si>
  <si>
    <t xml:space="preserve">Points (unadjusted FP)</t>
  </si>
  <si>
    <t xml:space="preserve">Internal logical files (data entities)</t>
  </si>
  <si>
    <t xml:space="preserve">External interface files (integrations)</t>
  </si>
  <si>
    <t xml:space="preserve">External inputs (forms and actions)</t>
  </si>
  <si>
    <t xml:space="preserve">External outputs (documents, reports, dashboards)</t>
  </si>
  <si>
    <t xml:space="preserve">External inquiries (searches and lookups)</t>
  </si>
  <si>
    <t xml:space="preserve">Unadjusted function points</t>
  </si>
  <si>
    <t xml:space="preserve">Value adjustment factor</t>
  </si>
  <si>
    <t xml:space="preserve">0.65 + 0.01 x 54 across the 14 general system characteristics.</t>
  </si>
  <si>
    <t xml:space="preserve">Adjusted function points</t>
  </si>
  <si>
    <t xml:space="preserve">Source lines per function point</t>
  </si>
  <si>
    <t xml:space="preserve">Typical backfire ratio for a modern web and services stack.</t>
  </si>
  <si>
    <t xml:space="preserve">Size (KSLOC)</t>
  </si>
  <si>
    <t xml:space="preserve">STEP 2 — COCOMO II PARAMETERS</t>
  </si>
  <si>
    <t xml:space="preserve">Scale factors</t>
  </si>
  <si>
    <t xml:space="preserve">Rating</t>
  </si>
  <si>
    <t xml:space="preserve">Value</t>
  </si>
  <si>
    <t xml:space="preserve">PREC precedentedness</t>
  </si>
  <si>
    <t xml:space="preserve">Nominal</t>
  </si>
  <si>
    <t xml:space="preserve">FLEX development flexibility</t>
  </si>
  <si>
    <t xml:space="preserve">RESL risk resolution</t>
  </si>
  <si>
    <t xml:space="preserve">TEAM cohesion</t>
  </si>
  <si>
    <t xml:space="preserve">PMAT process maturity</t>
  </si>
  <si>
    <t xml:space="preserve">Sum of scale factors</t>
  </si>
  <si>
    <t xml:space="preserve">Exponent E = 0.91 + 0.01 x SF</t>
  </si>
  <si>
    <t xml:space="preserve">Product of the 17 effort multipliers</t>
  </si>
  <si>
    <t xml:space="preserve">RELY, DATA, CPLX, RUSE and DOCU raise it; ACAP, PCAP, PLEX, LTEX, TOOL and SITE lower it; PCON is Low because of the 16-month attrition exposure.</t>
  </si>
  <si>
    <t xml:space="preserve">STEP 3 — RESULT</t>
  </si>
  <si>
    <t xml:space="preserve">Effort (person-months) = 2.94 x KSLOC^E x EM</t>
  </si>
  <si>
    <t xml:space="preserve">Person-days per person-month</t>
  </si>
  <si>
    <t xml:space="preserve">Software construction effort</t>
  </si>
  <si>
    <t xml:space="preserve">Plus inception and requirements at 7%</t>
  </si>
  <si>
    <t xml:space="preserve">Plus non-code workstreams from the bottom-up</t>
  </si>
  <si>
    <t xml:space="preserve">Content and catalogue migration, hosting, certification and training. COCOMO sizes code, not these.</t>
  </si>
  <si>
    <t xml:space="preserve">COCOMO II LIKE-FOR-LIKE TOTAL</t>
  </si>
  <si>
    <t xml:space="preserve">Bottom-up P50 (simulation)</t>
  </si>
  <si>
    <t xml:space="preserve">A real second opinion is allowed to disagree. Read the note below before deciding which to trust.</t>
  </si>
  <si>
    <t xml:space="preserve">How to read the gap</t>
  </si>
  <si>
    <t xml:space="preserve">If COCOMO reads high, the likely causes are that the backfire ratio overstates a configuration-heavy build (much of this system is CMS and commerce configuration, not bespoke code) and that the function-point count treats configured features as if they were written from scratch. If COCOMO reads low, the bottom-up is probably carrying coordination and governance overhead that the parametric model prices more cheaply. Either way the two should be reconciled explicitly before a bid, and the honest position is that a single-method estimate was never safe.</t>
  </si>
  <si>
    <t xml:space="preserve">RECONCILIATION — what would make the two methods agree?</t>
  </si>
  <si>
    <t xml:space="preserve">Backfire ratio at which COCOMO equals the bottom-up</t>
  </si>
  <si>
    <t xml:space="preserve">Against the 46 used above. The whole 48% divergence rests on this one input.</t>
  </si>
  <si>
    <t xml:space="preserve">Backfire ratio (SLOC per FP)</t>
  </si>
  <si>
    <t xml:space="preserve">COCOMO total (PD)</t>
  </si>
  <si>
    <t xml:space="preserve">vs bottom-up (%)</t>
  </si>
  <si>
    <t xml:space="preserve">Very high reuse; mostly configuration.</t>
  </si>
  <si>
    <t xml:space="preserve">Configuration-heavy CMS and commerce build. Reconciles the two methods.</t>
  </si>
  <si>
    <t xml:space="preserve">Mixed configuration and bespoke.</t>
  </si>
  <si>
    <t xml:space="preserve">Mostly bespoke, modern framework.</t>
  </si>
  <si>
    <t xml:space="preserve">Used above. Assumes largely bespoke code.</t>
  </si>
  <si>
    <t xml:space="preserve">Bespoke, lower-level language.</t>
  </si>
  <si>
    <t xml:space="preserve">Verdict</t>
  </si>
  <si>
    <t xml:space="preserve">The two methods are not really 48% apart on effort — they are apart on one assumption about how much of this system is written versus configured. At 31 source lines per function point they agree exactly, and 31 is a defensible ratio for a build that is largely CMS and commerce configuration. At 46, which assumes bespoke code throughout, COCOMO reads 5,086 PD. The bottom-up implicitly assumes the configuration-heavy world. That assumption should be stated in the bid and tested at architecture, because if the build turns out to be more bespoke than assumed, the parametric model says the exposure is roughly 1,600 person-days.</t>
  </si>
  <si>
    <t xml:space="preserve">Unified Platform vs Two Independent Builds</t>
  </si>
  <si>
    <t xml:space="preserve">Each saving is now a percentage of the specific modules it reduces, computed live. The guard column flags any saving that exceeds its own source.</t>
  </si>
  <si>
    <t xml:space="preserve">Duplicated capability</t>
  </si>
  <si>
    <t xml:space="preserve">Source modules</t>
  </si>
  <si>
    <t xml:space="preserve">Source (PD)</t>
  </si>
  <si>
    <t xml:space="preserve">Reduction (%)</t>
  </si>
  <si>
    <t xml:space="preserve">Saving (PD)</t>
  </si>
  <si>
    <t xml:space="preserve">Guard</t>
  </si>
  <si>
    <t xml:space="preserve">Rationale</t>
  </si>
  <si>
    <t xml:space="preserve">U1</t>
  </si>
  <si>
    <t xml:space="preserve">Single identity provider and SSO</t>
  </si>
  <si>
    <t xml:space="preserve">E8, O6</t>
  </si>
  <si>
    <t xml:space="preserve">One IdP serves app, console and portal.</t>
  </si>
  <si>
    <t xml:space="preserve">U2</t>
  </si>
  <si>
    <t xml:space="preserve">One catalogue and commerce core, two front ends</t>
  </si>
  <si>
    <t xml:space="preserve">C4, N1, N3, N4, N5, N6</t>
  </si>
  <si>
    <t xml:space="preserve">Both documents sell the same publications.</t>
  </si>
  <si>
    <t xml:space="preserve">U3</t>
  </si>
  <si>
    <t xml:space="preserve">Single payment integration</t>
  </si>
  <si>
    <t xml:space="preserve">E3, N4</t>
  </si>
  <si>
    <t xml:space="preserve">One merchant account, one PCI scope.</t>
  </si>
  <si>
    <t xml:space="preserve">U4</t>
  </si>
  <si>
    <t xml:space="preserve">Shared notification and communication service</t>
  </si>
  <si>
    <t xml:space="preserve">E7, D9, O5</t>
  </si>
  <si>
    <t xml:space="preserve">One template store, one DLT registration.</t>
  </si>
  <si>
    <t xml:space="preserve">U5</t>
  </si>
  <si>
    <t xml:space="preserve">Shared immutable audit-log subsystem</t>
  </si>
  <si>
    <t xml:space="preserve">D13, J6</t>
  </si>
  <si>
    <t xml:space="preserve">Required by both; build once.</t>
  </si>
  <si>
    <t xml:space="preserve">U6</t>
  </si>
  <si>
    <t xml:space="preserve">Shared analytics and MIS layer</t>
  </si>
  <si>
    <t xml:space="preserve">D11, D12, O1, O2, O3</t>
  </si>
  <si>
    <t xml:space="preserve">One MIS with role-scoped views.</t>
  </si>
  <si>
    <t xml:space="preserve">U7</t>
  </si>
  <si>
    <t xml:space="preserve">Shared infrastructure, DR and monitoring</t>
  </si>
  <si>
    <t xml:space="preserve">E11, Q1, Q2, Q3</t>
  </si>
  <si>
    <t xml:space="preserve">One hosting footprint, one DR site.</t>
  </si>
  <si>
    <t xml:space="preserve">U8</t>
  </si>
  <si>
    <t xml:space="preserve">Shared design system and accessibility</t>
  </si>
  <si>
    <t xml:space="preserve">B1, I1, C10, L4</t>
  </si>
  <si>
    <t xml:space="preserve">One accessible library, certified once.</t>
  </si>
  <si>
    <t xml:space="preserve">U9</t>
  </si>
  <si>
    <t xml:space="preserve">Single programme office</t>
  </si>
  <si>
    <t xml:space="preserve">G1, G2, S1, S2</t>
  </si>
  <si>
    <t xml:space="preserve">One PMO, one change board.</t>
  </si>
  <si>
    <t xml:space="preserve">U10</t>
  </si>
  <si>
    <t xml:space="preserve">Single certification cycle</t>
  </si>
  <si>
    <t xml:space="preserve">C11, E12, Q4, Q5</t>
  </si>
  <si>
    <t xml:space="preserve">One CQW submission covering both surfaces.</t>
  </si>
  <si>
    <t xml:space="preserve">U11</t>
  </si>
  <si>
    <t xml:space="preserve">Shared QA framework and automation</t>
  </si>
  <si>
    <t xml:space="preserve">F1, F2, F3, R1, R2, R3</t>
  </si>
  <si>
    <t xml:space="preserve">One automation framework and test-data factory.</t>
  </si>
  <si>
    <t xml:space="preserve">U12</t>
  </si>
  <si>
    <t xml:space="preserve">Single data-migration pipeline</t>
  </si>
  <si>
    <t xml:space="preserve">N2, N9, P1, P2</t>
  </si>
  <si>
    <t xml:space="preserve">One extraction and load toolchain.</t>
  </si>
  <si>
    <t xml:space="preserve">TOTAL</t>
  </si>
  <si>
    <t xml:space="preserve">Risk Register — Endogenous vs Exogenous</t>
  </si>
  <si>
    <t xml:space="preserve">Only exogenous risks enter the simulation. Endogenous ones are already carried by the module optimistic-to-pessimistic spread, and charging them again was double counting.</t>
  </si>
  <si>
    <t xml:space="preserve">Risk</t>
  </si>
  <si>
    <t xml:space="preserve">Class</t>
  </si>
  <si>
    <t xml:space="preserve">Marginal impact (PD)</t>
  </si>
  <si>
    <t xml:space="preserve">EMV (PD)</t>
  </si>
  <si>
    <t xml:space="preserve">Basis for the classification</t>
  </si>
  <si>
    <t xml:space="preserve">Commerce scope not reconciled before award</t>
  </si>
  <si>
    <t xml:space="preserve">Exogenous</t>
  </si>
  <si>
    <t xml:space="preserve">A scope change, not estimation variance. No module range contemplates running two order ledgers.</t>
  </si>
  <si>
    <t xml:space="preserve">No LIMS or QC source for CoA data</t>
  </si>
  <si>
    <t xml:space="preserve">E9 sizes building the ingest. This is the marginal cost of a manual QC console if no source exists at all.</t>
  </si>
  <si>
    <t xml:space="preserve">Content volume beyond the counted baseline</t>
  </si>
  <si>
    <t xml:space="preserve">Reduced from 55: P1/P2 pessimistic already absorbs ordinary volume swing. Marginal only.</t>
  </si>
  <si>
    <t xml:space="preserve">NIC / MeitY onboarding lead time</t>
  </si>
  <si>
    <t xml:space="preserve">Schedule slip converts to extended PMO cost, which no module carries.</t>
  </si>
  <si>
    <t xml:space="preserve">STQC or CERT-In findings needing a third cycle</t>
  </si>
  <si>
    <t xml:space="preserve">Reduced from 60: Q4/Q5 already budget two cycles. Marginal is the third.</t>
  </si>
  <si>
    <t xml:space="preserve">App store rejection cycles</t>
  </si>
  <si>
    <t xml:space="preserve">Outside the build estimate entirely.</t>
  </si>
  <si>
    <t xml:space="preserve">Hindi coverage incomplete at cutover</t>
  </si>
  <si>
    <t xml:space="preserve">Reduced from 25: P3 range covers ordinary shortfall.</t>
  </si>
  <si>
    <t xml:space="preserve">DPDP 13 May 2027 date missed, remediation needed</t>
  </si>
  <si>
    <t xml:space="preserve">Statutory date, not an estimation question.</t>
  </si>
  <si>
    <t xml:space="preserve">K11</t>
  </si>
  <si>
    <t xml:space="preserve">Cold-chain workflow required but unscoped</t>
  </si>
  <si>
    <t xml:space="preserve">Pure scope addition; absent from every module.</t>
  </si>
  <si>
    <t xml:space="preserve">K12</t>
  </si>
  <si>
    <t xml:space="preserve">Tier approval revalidation</t>
  </si>
  <si>
    <t xml:space="preserve">Reduced from 10: D5 now explicitly covers revalidation.</t>
  </si>
  <si>
    <t xml:space="preserve">K13</t>
  </si>
  <si>
    <t xml:space="preserve">OpenCart data migration harder than mapped</t>
  </si>
  <si>
    <t xml:space="preserve">Reduced from 40: N9 range covers ordinary difficulty. Marginal only.</t>
  </si>
  <si>
    <t xml:space="preserve">K14</t>
  </si>
  <si>
    <t xml:space="preserve">Attrition and re-ramp over 16 months</t>
  </si>
  <si>
    <t xml:space="preserve">Modules estimate productive effort, not replacement and re-ramp. Genuinely outside.</t>
  </si>
  <si>
    <t xml:space="preserve">K15</t>
  </si>
  <si>
    <t xml:space="preserve">Inherited release-hygiene remediation</t>
  </si>
  <si>
    <t xml:space="preserve">Observed on the live estate.</t>
  </si>
  <si>
    <t xml:space="preserve">K10</t>
  </si>
  <si>
    <t xml:space="preserve">Requirement volatility across 191 obligations</t>
  </si>
  <si>
    <t xml:space="preserve">Endogenous</t>
  </si>
  <si>
    <t xml:space="preserve">REMOVED FROM THE SIMULATION. This is precisely what the optimistic-to-pessimistic spread on every module encodes. Counting it again was double-counting worth 135 PD of expected value.</t>
  </si>
  <si>
    <t xml:space="preserve">K9</t>
  </si>
  <si>
    <t xml:space="preserve">PCI scope escalates to full DSS</t>
  </si>
  <si>
    <t xml:space="preserve">Cost-only exposure of INR 280 lakh; carried on the cost side, not in person-days.</t>
  </si>
  <si>
    <t xml:space="preserve">Expected value of exogenous risk</t>
  </si>
  <si>
    <t xml:space="preserve">This total is shown for reference only. It is NOT added to a percentile — the simulation samples these events inside each iteration, so their effect is already in every figure on the Monte Carlo sheet. v2's register totalled 621 PD; removing the double-counted volatility risk and reducing six others to their marginal exposure brings it to 447 PD.</t>
  </si>
  <si>
    <t xml:space="preserve">Tornado — Derived by Simulation</t>
  </si>
  <si>
    <t xml:space="preserve">Each variable was swung and the whole Monte Carlo re-run at 25,000 iterations. The figures below are the resulting shift in P80, not hand-entered constants.</t>
  </si>
  <si>
    <t xml:space="preserve">P80 low case (PD)</t>
  </si>
  <si>
    <t xml:space="preserve">P80 high case (PD)</t>
  </si>
  <si>
    <t xml:space="preserve">What the swing means</t>
  </si>
  <si>
    <t xml:space="preserve">Requirement volatility (module spreads +/-30%)</t>
  </si>
  <si>
    <t xml:space="preserve">Acceptance criteria agreed in F0 move this to the low case.</t>
  </si>
  <si>
    <t xml:space="preserve">Unification savings realised vs not</t>
  </si>
  <si>
    <t xml:space="preserve">The entire case for one platform instead of two.</t>
  </si>
  <si>
    <t xml:space="preserve">Commerce scope reconciled before award</t>
  </si>
  <si>
    <t xml:space="preserve">The largest single lever, and it is answered by a question, not by engineering.</t>
  </si>
  <si>
    <t xml:space="preserve">AI layer scope (workstream M)</t>
  </si>
  <si>
    <t xml:space="preserve">Seven AI features with no accuracy criteria. Fixing thresholds pre-award is worth more than any other AI decision.</t>
  </si>
  <si>
    <t xml:space="preserve">Content and catalogue migration (P, N2, N9)</t>
  </si>
  <si>
    <t xml:space="preserve">Narrowed in v2 by counting the estate; still material.</t>
  </si>
  <si>
    <t xml:space="preserve">Mobile: cross-platform vs two native codebases</t>
  </si>
  <si>
    <t xml:space="preserve">A single technology decision.</t>
  </si>
  <si>
    <t xml:space="preserve">Attrition and re-ramp</t>
  </si>
  <si>
    <t xml:space="preserve">Longer schedules cost more than the day rate implies.</t>
  </si>
  <si>
    <t xml:space="preserve">Forum and engagement scope (K6, K7)</t>
  </si>
  <si>
    <t xml:space="preserve">Deferrable to phase 2 with no impact on commerce.</t>
  </si>
  <si>
    <t xml:space="preserve">CoA source data / LIMS availability</t>
  </si>
  <si>
    <t xml:space="preserve">If no QC source exists a manual console must be built.</t>
  </si>
  <si>
    <t xml:space="preserve">Certification remediation cycles</t>
  </si>
  <si>
    <t xml:space="preserve">Two cycles are budgeted; this is the third.</t>
  </si>
  <si>
    <t xml:space="preserve">Role Mix and Blended Rate</t>
  </si>
  <si>
    <t xml:space="preserve">Offshore India delivery.</t>
  </si>
  <si>
    <t xml:space="preserve">Role</t>
  </si>
  <si>
    <t xml:space="preserve">Share of effort (%)</t>
  </si>
  <si>
    <t xml:space="preserve">Rate (INR / person-day)</t>
  </si>
  <si>
    <t xml:space="preserve">Weighted (INR/PD)</t>
  </si>
  <si>
    <t xml:space="preserve">Programme Director</t>
  </si>
  <si>
    <t xml:space="preserve">Solution Architect</t>
  </si>
  <si>
    <t xml:space="preserve">Tech Lead</t>
  </si>
  <si>
    <t xml:space="preserve">Two leads: platform and experience.</t>
  </si>
  <si>
    <t xml:space="preserve">Business Analyst</t>
  </si>
  <si>
    <t xml:space="preserve">Owns the 191-obligation matrix.</t>
  </si>
  <si>
    <t xml:space="preserve">UX / UI Designer</t>
  </si>
  <si>
    <t xml:space="preserve">Includes accessibility specialist time.</t>
  </si>
  <si>
    <t xml:space="preserve">Senior Engineer</t>
  </si>
  <si>
    <t xml:space="preserve">Engineer</t>
  </si>
  <si>
    <t xml:space="preserve">R8</t>
  </si>
  <si>
    <t xml:space="preserve">QA Lead</t>
  </si>
  <si>
    <t xml:space="preserve">R9</t>
  </si>
  <si>
    <t xml:space="preserve">QA Engineer</t>
  </si>
  <si>
    <t xml:space="preserve">R10</t>
  </si>
  <si>
    <t xml:space="preserve">DevOps / SRE</t>
  </si>
  <si>
    <t xml:space="preserve">NIC/MeitY provisioning, DR automation.</t>
  </si>
  <si>
    <t xml:space="preserve">R11</t>
  </si>
  <si>
    <t xml:space="preserve">Security Engineer</t>
  </si>
  <si>
    <t xml:space="preserve">GIGW, CQW and CERT-In readiness.</t>
  </si>
  <si>
    <t xml:space="preserve">Blended rate (mid-tier)</t>
  </si>
  <si>
    <t xml:space="preserve">VENDOR TIER</t>
  </si>
  <si>
    <t xml:space="preserve">Tier</t>
  </si>
  <si>
    <t xml:space="preserve">Multiplier (x, dimensionless)</t>
  </si>
  <si>
    <t xml:space="preserve">Effective rate (INR/PD)</t>
  </si>
  <si>
    <t xml:space="preserve">T1</t>
  </si>
  <si>
    <t xml:space="preserve">Boutique / specialist</t>
  </si>
  <si>
    <t xml:space="preserve">Lower rate, higher certification risk.</t>
  </si>
  <si>
    <t xml:space="preserve">T2</t>
  </si>
  <si>
    <t xml:space="preserve">Mid-tier SI</t>
  </si>
  <si>
    <t xml:space="preserve">Baseline for all headline numbers.</t>
  </si>
  <si>
    <t xml:space="preserve">T3</t>
  </si>
  <si>
    <t xml:space="preserve">Tier-1 SI</t>
  </si>
  <si>
    <t xml:space="preserve">Established NIC / STQC track record.</t>
  </si>
  <si>
    <t xml:space="preserve">Scenarios, Build Cost and Unit Economics</t>
  </si>
  <si>
    <t xml:space="preserve">INR. Crore = 10,000,000.</t>
  </si>
  <si>
    <t xml:space="preserve">Scenario</t>
  </si>
  <si>
    <t xml:space="preserve">Effort (PD)</t>
  </si>
  <si>
    <t xml:space="preserve">Boutique Cr</t>
  </si>
  <si>
    <t xml:space="preserve">Mid-tier Cr</t>
  </si>
  <si>
    <t xml:space="preserve">Tier-1 Cr</t>
  </si>
  <si>
    <t xml:space="preserve">S-A</t>
  </si>
  <si>
    <t xml:space="preserve">Two independent builds, as documented</t>
  </si>
  <si>
    <t xml:space="preserve">MODELLED. The same simulation run with no unification saving realised — which is what two independent builds means. Previously this was a ratio taken from a superseded sheet, and restructuring the savings sheet silently broke it so that Scenario A read the same as Scenario B.</t>
  </si>
  <si>
    <t xml:space="preserve">S-B</t>
  </si>
  <si>
    <t xml:space="preserve">Unified platform, two front ends</t>
  </si>
  <si>
    <t xml:space="preserve">RECOMMENDED. One catalogue, one identity, one audit ledger.</t>
  </si>
  <si>
    <t xml:space="preserve">S-C</t>
  </si>
  <si>
    <t xml:space="preserve">Unified, phase 1 release only</t>
  </si>
  <si>
    <t xml:space="preserve">MODELLED. Sum of the modules that ship first, scaled from P50 to the P80 bid basis.</t>
  </si>
  <si>
    <t xml:space="preserve">S-D</t>
  </si>
  <si>
    <t xml:space="preserve">Replatform the existing estate, do not rebuild</t>
  </si>
  <si>
    <t xml:space="preserve">MODELLED. Module-level replatform disposition, scaled to P80. Not yet validated against the actual OpenCart install.</t>
  </si>
  <si>
    <t xml:space="preserve">S-E</t>
  </si>
  <si>
    <t xml:space="preserve">IPC adopts the product (Lotmark tenant)</t>
  </si>
  <si>
    <t xml:space="preserve">NEW. Product supplies the core; IPC pays for configuration, migration, the portal layer, certification and hosting. Add the licence separately.</t>
  </si>
  <si>
    <t xml:space="preserve">PASS-THROUGH AND THIRD-PARTY (INR lakh)</t>
  </si>
  <si>
    <t xml:space="preserve">Item</t>
  </si>
  <si>
    <t xml:space="preserve">Low (INR lakh)</t>
  </si>
  <si>
    <t xml:space="preserve">Base (INR lakh)</t>
  </si>
  <si>
    <t xml:space="preserve">High (INR lakh)</t>
  </si>
  <si>
    <t xml:space="preserve">Type</t>
  </si>
  <si>
    <t xml:space="preserve">STQC Certified Quality Website certification</t>
  </si>
  <si>
    <t xml:space="preserve">One-time</t>
  </si>
  <si>
    <t xml:space="preserve">88 mandatory GIGW guidelines assessed.</t>
  </si>
  <si>
    <t xml:space="preserve">CERT-In empanelled security audit, 2 systems x 2 cycles</t>
  </si>
  <si>
    <t xml:space="preserve">Hosting: NIC/MeitY primary plus DR (36 months)</t>
  </si>
  <si>
    <t xml:space="preserve">Recurring</t>
  </si>
  <si>
    <t xml:space="preserve">99.9% SLA, RTO 4h, RPO 15min.</t>
  </si>
  <si>
    <t xml:space="preserve">Video streaming platform (36 months)</t>
  </si>
  <si>
    <t xml:space="preserve">Required by Doc B; platform not named.</t>
  </si>
  <si>
    <t xml:space="preserve">Payment gateway setup and annual</t>
  </si>
  <si>
    <t xml:space="preserve">Excludes TDR.</t>
  </si>
  <si>
    <t xml:space="preserve">SMS / DLT and transactional email (36 months)</t>
  </si>
  <si>
    <t xml:space="preserve">AI inference, vector store, moderation (36 months)</t>
  </si>
  <si>
    <t xml:space="preserve">Seven AI features.</t>
  </si>
  <si>
    <t xml:space="preserve">APM, logging, WAF, CDN (36 months)</t>
  </si>
  <si>
    <t xml:space="preserve">Needed to evidence the SLA.</t>
  </si>
  <si>
    <t xml:space="preserve">P9</t>
  </si>
  <si>
    <t xml:space="preserve">Developer accounts, code signing, TLS</t>
  </si>
  <si>
    <t xml:space="preserve">Store accounts must be owned by IPC.</t>
  </si>
  <si>
    <t xml:space="preserve">P10</t>
  </si>
  <si>
    <t xml:space="preserve">Hindi coverage completion</t>
  </si>
  <si>
    <t xml:space="preserve">REDUCED: a Hindi site already exists.</t>
  </si>
  <si>
    <t xml:space="preserve">P11</t>
  </si>
  <si>
    <t xml:space="preserve">Third-party accessibility audit, two cycles</t>
  </si>
  <si>
    <t xml:space="preserve">P12</t>
  </si>
  <si>
    <t xml:space="preserve">Load-test tooling and device farm</t>
  </si>
  <si>
    <t xml:space="preserve">P13</t>
  </si>
  <si>
    <t xml:space="preserve">DPDP Consent Manager registration and integration</t>
  </si>
  <si>
    <t xml:space="preserve">NEW: Consent Manager registration opened 13 Nov 2026.</t>
  </si>
  <si>
    <t xml:space="preserve">Pass-through total</t>
  </si>
  <si>
    <t xml:space="preserve">of which one-time</t>
  </si>
  <si>
    <t xml:space="preserve">of which recurring over 36 months</t>
  </si>
  <si>
    <t xml:space="preserve">Annual run-rate</t>
  </si>
  <si>
    <t xml:space="preserve">FIVE-YEAR TCO — SCENARIO B, MID-TIER (INR crore)</t>
  </si>
  <si>
    <t xml:space="preserve">AMC as % of build per annum</t>
  </si>
  <si>
    <t xml:space="preserve">L1-L3 support, patching, CERT-In advisories, minor enhancements.</t>
  </si>
  <si>
    <t xml:space="preserve">Cost line</t>
  </si>
  <si>
    <t xml:space="preserve">Year 0 (INR Cr)</t>
  </si>
  <si>
    <t xml:space="preserve">Year 1 (INR Cr)</t>
  </si>
  <si>
    <t xml:space="preserve">Year 2 (INR Cr)</t>
  </si>
  <si>
    <t xml:space="preserve">Year 3 (INR Cr)</t>
  </si>
  <si>
    <t xml:space="preserve">Years 4-5 (INR Cr)</t>
  </si>
  <si>
    <t xml:space="preserve">Build effort</t>
  </si>
  <si>
    <t xml:space="preserve">One-time pass-through</t>
  </si>
  <si>
    <t xml:space="preserve">Hosting, licences, AI run-rate</t>
  </si>
  <si>
    <t xml:space="preserve">T4</t>
  </si>
  <si>
    <t xml:space="preserve">AMC and application support</t>
  </si>
  <si>
    <t xml:space="preserve">Total by period</t>
  </si>
  <si>
    <t xml:space="preserve">FIVE-YEAR TCO</t>
  </si>
  <si>
    <t xml:space="preserve">UNIT ECONOMICS — the number an evaluation committee computes first</t>
  </si>
  <si>
    <t xml:space="preserve">IPRS SKUs in catalogue</t>
  </si>
  <si>
    <t xml:space="preserve">Counted from the published list, 24/06/2026.</t>
  </si>
  <si>
    <t xml:space="preserve">IMPRS SKUs in catalogue</t>
  </si>
  <si>
    <t xml:space="preserve">Orders per year — BANDED, still unverified</t>
  </si>
  <si>
    <t xml:space="preserve">Replaced a single point guess with the band below. IPC can settle this from the existing OpenCart order table in minutes; until then, quote the range, never the point.</t>
  </si>
  <si>
    <t xml:space="preserve">Estimated monthly visitors — RETRACTED, UNVERIFIED</t>
  </si>
  <si>
    <t xml:space="preserve">RETRACTED 18 Aug 2026. The earlier 88,000 was derived by dividing the gap between two visitor-counter readings (4,561,263 and 4,570,022) by three days — but those three days came from the pages' own Last-Modified dates, not from the read times. Both pages were fetched minutes apart, so the two readings cannot both be live and the inference is void. Cumulative average since about 2017 suggests nearer 42,000/month, which would make Doc B's 100,000 a growth allowance rather than current traffic — the opposite of what was claimed. REPLACE with IPC's analytics export or server logs before using any traffic-derived argument.</t>
  </si>
  <si>
    <t xml:space="preserve">Five-year cost per order</t>
  </si>
  <si>
    <t xml:space="preserve">INR per order across five years. Compare against average order value before defending this programme on efficiency grounds.</t>
  </si>
  <si>
    <t xml:space="preserve">Five-year cost per catalogue SKU maintained</t>
  </si>
  <si>
    <t xml:space="preserve">CORRECTED 18 Aug 2026. The previous formula divided by C42+C43, where C42 is a blank section header — so the denominator was 702 (IPRS only) instead of 1,341. The published figure of INR 1.92 lakh was overstated by 91%.</t>
  </si>
  <si>
    <t xml:space="preserve">ORDER-VOLUME SENSITIVITY (replaces the point assumption)</t>
  </si>
  <si>
    <t xml:space="preserve">Orders per year (count)</t>
  </si>
  <si>
    <t xml:space="preserve">Orders over 5 years (count)</t>
  </si>
  <si>
    <t xml:space="preserve">Cost per order (INR)</t>
  </si>
  <si>
    <t xml:space="preserve">Low — current shop is lightly used</t>
  </si>
  <si>
    <t xml:space="preserve">Base — planning assumption</t>
  </si>
  <si>
    <t xml:space="preserve">High — mobile app materially lifts demand</t>
  </si>
  <si>
    <t xml:space="preserve">Break-even at INR 1,000 per order</t>
  </si>
  <si>
    <t xml:space="preserve">Annual order volume required for the platform to cost under INR 1,000 per order.</t>
  </si>
  <si>
    <t xml:space="preserve">The five-year cost per order swings by roughly four times across this band, which is why it must not be quoted from a single assumption. The cost per SKU maintained is the more stable and more honest unit for this platform.</t>
  </si>
  <si>
    <t xml:space="preserve">From Cost to Price</t>
  </si>
  <si>
    <t xml:space="preserve">v1 stopped at cost. This is the commercial wrapper.</t>
  </si>
  <si>
    <t xml:space="preserve">Build cost, Scenario B mid-tier (INR crore)</t>
  </si>
  <si>
    <t xml:space="preserve">Target gross margin</t>
  </si>
  <si>
    <t xml:space="preserve">Typical for Indian government fixed-price delivery.</t>
  </si>
  <si>
    <t xml:space="preserve">Price before tax</t>
  </si>
  <si>
    <t xml:space="preserve">GST on services</t>
  </si>
  <si>
    <t xml:space="preserve">Verify the applicable rate and whether IPC can claim input credit as an autonomous body.</t>
  </si>
  <si>
    <t xml:space="preserve">QUOTED PRICE INCLUSIVE OF GST</t>
  </si>
  <si>
    <t xml:space="preserve">MILESTONE BILLING AND CASH FLOW</t>
  </si>
  <si>
    <t xml:space="preserve">Milestone</t>
  </si>
  <si>
    <t xml:space="preserve">Month (M1–M16)</t>
  </si>
  <si>
    <t xml:space="preserve">Share of price (%)</t>
  </si>
  <si>
    <t xml:space="preserve">Value (INR Cr)</t>
  </si>
  <si>
    <t xml:space="preserve">Trigger / exit criterion</t>
  </si>
  <si>
    <t xml:space="preserve">Mobilisation and signed SRS</t>
  </si>
  <si>
    <t xml:space="preserve">Requirements matrix signed by IPC.</t>
  </si>
  <si>
    <t xml:space="preserve">Architecture and design system approved</t>
  </si>
  <si>
    <t xml:space="preserve">HLD approved; unified catalogue design agreed.</t>
  </si>
  <si>
    <t xml:space="preserve">Core platform in integrated test</t>
  </si>
  <si>
    <t xml:space="preserve">Identity, catalogue, order and audit services demonstrable.</t>
  </si>
  <si>
    <t xml:space="preserve">Portal feature-complete in UAT</t>
  </si>
  <si>
    <t xml:space="preserve">M10</t>
  </si>
  <si>
    <t xml:space="preserve">All CMS and commerce features in UAT.</t>
  </si>
  <si>
    <t xml:space="preserve">Migration complete and verified</t>
  </si>
  <si>
    <t xml:space="preserve">M11</t>
  </si>
  <si>
    <t xml:space="preserve">Content and OpenCart data migrated; redirects verified.</t>
  </si>
  <si>
    <t xml:space="preserve">Portal live with clean VAPT</t>
  </si>
  <si>
    <t xml:space="preserve">M12</t>
  </si>
  <si>
    <t xml:space="preserve">Live on NIC/MeitY; DR failover proven; CERT-In report clean.</t>
  </si>
  <si>
    <t xml:space="preserve">STQC CQW certificate issued</t>
  </si>
  <si>
    <t xml:space="preserve">M13</t>
  </si>
  <si>
    <t xml:space="preserve">Certificate in hand.</t>
  </si>
  <si>
    <t xml:space="preserve">M8</t>
  </si>
  <si>
    <t xml:space="preserve">Apps published to both stores</t>
  </si>
  <si>
    <t xml:space="preserve">M14</t>
  </si>
  <si>
    <t xml:space="preserve">Live on App Store and Play Store.</t>
  </si>
  <si>
    <t xml:space="preserve">M9</t>
  </si>
  <si>
    <t xml:space="preserve">Hypercare complete and handover</t>
  </si>
  <si>
    <t xml:space="preserve">M16</t>
  </si>
  <si>
    <t xml:space="preserve">Steady-state AMC transition signed off.</t>
  </si>
  <si>
    <t xml:space="preserve">Total</t>
  </si>
  <si>
    <t xml:space="preserve">Peak negative cash position (approx.)</t>
  </si>
  <si>
    <t xml:space="preserve">Roughly 24% of build cost is carried before M3 clears. Working capital, not profit.</t>
  </si>
  <si>
    <t xml:space="preserve">GUARANTEES AND PENALTY EXPOSURE</t>
  </si>
  <si>
    <t xml:space="preserve">Rate (%)</t>
  </si>
  <si>
    <t xml:space="preserve">Earnest money deposit</t>
  </si>
  <si>
    <t xml:space="preserve">Refundable, but blocks working capital through evaluation.</t>
  </si>
  <si>
    <t xml:space="preserve">Performance bank guarantee</t>
  </si>
  <si>
    <t xml:space="preserve">Typically 10% of contract value for the full term plus claim period.</t>
  </si>
  <si>
    <t xml:space="preserve">Liquidated damages cap</t>
  </si>
  <si>
    <t xml:space="preserve">Usually 0.5% per week of delay, capped at 10%. This is the schedule risk in rupees.</t>
  </si>
  <si>
    <t xml:space="preserve">Bank guarantee carrying cost per annum</t>
  </si>
  <si>
    <t xml:space="preserve">Commission on the PBG value; a real cost, routinely forgotten in pricing.</t>
  </si>
  <si>
    <t xml:space="preserve">Margin after a full LD hit</t>
  </si>
  <si>
    <t xml:space="preserve">If the LD cap is fully drawn, this is what is left. Test it before committing to the schedule.</t>
  </si>
  <si>
    <t xml:space="preserve">Programme Timeline — Scenario B</t>
  </si>
  <si>
    <t xml:space="preserve">Effort curve ties to the recommended figure on the Confidence sheet.</t>
  </si>
  <si>
    <t xml:space="preserve">Start</t>
  </si>
  <si>
    <t xml:space="preserve">End</t>
  </si>
  <si>
    <t xml:space="preserve">Duration (months)</t>
  </si>
  <si>
    <t xml:space="preserve">M15</t>
  </si>
  <si>
    <t xml:space="preserve">Exit criterion</t>
  </si>
  <si>
    <t xml:space="preserve">F0</t>
  </si>
  <si>
    <t xml:space="preserve">Mobilisation, discovery, requirements</t>
  </si>
  <si>
    <t xml:space="preserve">Signed SRS and 191-row matrix</t>
  </si>
  <si>
    <t xml:space="preserve">Architecture, design system, platform foundation</t>
  </si>
  <si>
    <t xml:space="preserve">Approved HLD, DPDP design baseline</t>
  </si>
  <si>
    <t xml:space="preserve">Core platform: identity, catalogue, order, audit</t>
  </si>
  <si>
    <t xml:space="preserve">Services in integrated test</t>
  </si>
  <si>
    <t xml:space="preserve">Portal build: CMS, templates, facilities, forum</t>
  </si>
  <si>
    <t xml:space="preserve">Feature-complete in UAT</t>
  </si>
  <si>
    <t xml:space="preserve">Mobile app and admin console build</t>
  </si>
  <si>
    <t xml:space="preserve">Feature-complete on internal track</t>
  </si>
  <si>
    <t xml:space="preserve">Integrations, AI layer, MIS analytics</t>
  </si>
  <si>
    <t xml:space="preserve">Integration contracts signed off</t>
  </si>
  <si>
    <t xml:space="preserve">Content and OpenCart data migration</t>
  </si>
  <si>
    <t xml:space="preserve">Migration verified, redirects live</t>
  </si>
  <si>
    <t xml:space="preserve">QA, VAPT, GIGW conformance, STQC CQW</t>
  </si>
  <si>
    <t xml:space="preserve">Clean VAPT, CQW certificate</t>
  </si>
  <si>
    <t xml:space="preserve">F8</t>
  </si>
  <si>
    <t xml:space="preserve">UAT, pilot, government-lab onboarding</t>
  </si>
  <si>
    <t xml:space="preserve">IPC sign-off on both surfaces</t>
  </si>
  <si>
    <t xml:space="preserve">F9</t>
  </si>
  <si>
    <t xml:space="preserve">Portal go-live and cutover</t>
  </si>
  <si>
    <t xml:space="preserve">Live on NIC/MeitY, DR proven</t>
  </si>
  <si>
    <t xml:space="preserve">F10</t>
  </si>
  <si>
    <t xml:space="preserve">Store submission and app go-live</t>
  </si>
  <si>
    <t xml:space="preserve">Published on both stores</t>
  </si>
  <si>
    <t xml:space="preserve">F11</t>
  </si>
  <si>
    <t xml:space="preserve">Hypercare and transition to AMC</t>
  </si>
  <si>
    <t xml:space="preserve">Steady-state handover</t>
  </si>
  <si>
    <t xml:space="preserve">Ramp weight (relative, dimensionless)</t>
  </si>
  <si>
    <t xml:space="preserve">Person-days in month</t>
  </si>
  <si>
    <t xml:space="preserve">Average FTE</t>
  </si>
  <si>
    <t xml:space="preserve">DPDP full-compliance date of 13 May 2027 falls inside this window on any realistic start. Design to it from F1 rather than remediating at F7.</t>
  </si>
  <si>
    <t xml:space="preserve">Staffed to the P80 bid basis so the schedule and the commercial figure agree. Planning to P50 and holding the difference as reserve is the alternative convention; it lowers peak FTE but requires the reserve to be governed explicitly.</t>
  </si>
</sst>
</file>

<file path=xl/styles.xml><?xml version="1.0" encoding="utf-8"?>
<styleSheet xmlns="http://schemas.openxmlformats.org/spreadsheetml/2006/main">
  <numFmts count="19">
    <numFmt numFmtId="164" formatCode="General"/>
    <numFmt numFmtId="165" formatCode="@"/>
    <numFmt numFmtId="166" formatCode="#,##0"/>
    <numFmt numFmtId="167" formatCode="0.0"/>
    <numFmt numFmtId="168" formatCode="#,##0&quot; PD&quot;"/>
    <numFmt numFmtId="169" formatCode="\₹#,##0.00&quot; Cr&quot;"/>
    <numFmt numFmtId="170" formatCode="0%"/>
    <numFmt numFmtId="171" formatCode="#,##0.00"/>
    <numFmt numFmtId="172" formatCode="0.0%"/>
    <numFmt numFmtId="173" formatCode="#,##0.0"/>
    <numFmt numFmtId="174" formatCode="0.00"/>
    <numFmt numFmtId="175" formatCode="#,##0.0&quot; lakh/yr&quot;"/>
    <numFmt numFmtId="176" formatCode="0.0000"/>
    <numFmt numFmtId="177" formatCode="0.000"/>
    <numFmt numFmtId="178" formatCode="0"/>
    <numFmt numFmtId="179" formatCode="\+0%;\-0%"/>
    <numFmt numFmtId="180" formatCode="\₹#,##0&quot; /PD&quot;"/>
    <numFmt numFmtId="181" formatCode="0.00\x"/>
    <numFmt numFmtId="182" formatCode="\₹#,##0"/>
  </numFmts>
  <fonts count="23">
    <font>
      <sz val="11"/>
      <color theme="1"/>
      <name val="Calibri"/>
      <family val="2"/>
      <charset val="1"/>
    </font>
    <font>
      <sz val="10"/>
      <name val="Arial"/>
      <family val="0"/>
    </font>
    <font>
      <sz val="10"/>
      <name val="Arial"/>
      <family val="0"/>
    </font>
    <font>
      <sz val="10"/>
      <name val="Arial"/>
      <family val="0"/>
    </font>
    <font>
      <b val="true"/>
      <sz val="14"/>
      <color rgb="FF14283F"/>
      <name val="Arial"/>
      <family val="0"/>
      <charset val="1"/>
    </font>
    <font>
      <i val="true"/>
      <sz val="9"/>
      <color rgb="FF555555"/>
      <name val="Arial"/>
      <family val="0"/>
      <charset val="1"/>
    </font>
    <font>
      <b val="true"/>
      <sz val="10"/>
      <name val="Arial"/>
      <family val="0"/>
      <charset val="1"/>
    </font>
    <font>
      <sz val="10"/>
      <name val="Arial"/>
      <family val="0"/>
      <charset val="1"/>
    </font>
    <font>
      <b val="true"/>
      <sz val="10"/>
      <color rgb="FF9E211B"/>
      <name val="Arial"/>
      <family val="0"/>
      <charset val="1"/>
    </font>
    <font>
      <b val="true"/>
      <sz val="10"/>
      <color rgb="FFFFFFFF"/>
      <name val="Arial"/>
      <family val="0"/>
      <charset val="1"/>
    </font>
    <font>
      <sz val="9"/>
      <color rgb="FF0F3260"/>
      <name val="Arial"/>
      <family val="0"/>
      <charset val="1"/>
    </font>
    <font>
      <i val="true"/>
      <sz val="8"/>
      <color rgb="FF666666"/>
      <name val="Arial"/>
      <family val="0"/>
      <charset val="1"/>
    </font>
    <font>
      <sz val="7"/>
      <color rgb="FF999999"/>
      <name val="Consolas"/>
      <family val="0"/>
      <charset val="1"/>
    </font>
    <font>
      <sz val="8"/>
      <name val="Consolas"/>
      <family val="0"/>
      <charset val="1"/>
    </font>
    <font>
      <sz val="10"/>
      <color rgb="FF0000FF"/>
      <name val="Arial"/>
      <family val="0"/>
      <charset val="1"/>
    </font>
    <font>
      <b val="true"/>
      <sz val="11"/>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8000"/>
      <name val="Arial"/>
      <family val="0"/>
      <charset val="1"/>
    </font>
    <font>
      <b val="true"/>
      <sz val="10"/>
      <color rgb="FF8A5300"/>
      <name val="Arial"/>
      <family val="0"/>
      <charset val="1"/>
    </font>
    <font>
      <b val="true"/>
      <sz val="10"/>
      <color rgb="FF0B6A4D"/>
      <name val="Arial"/>
      <family val="0"/>
      <charset val="1"/>
    </font>
    <font>
      <b val="true"/>
      <sz val="12"/>
      <name val="Arial"/>
      <family val="0"/>
      <charset val="1"/>
    </font>
  </fonts>
  <fills count="11">
    <fill>
      <patternFill patternType="none"/>
    </fill>
    <fill>
      <patternFill patternType="gray125"/>
    </fill>
    <fill>
      <patternFill patternType="solid">
        <fgColor rgb="FFD8E1EE"/>
        <bgColor rgb="FFD9D9D9"/>
      </patternFill>
    </fill>
    <fill>
      <patternFill patternType="solid">
        <fgColor rgb="FFFDE7E4"/>
        <bgColor rgb="FFEEF2F8"/>
      </patternFill>
    </fill>
    <fill>
      <patternFill patternType="solid">
        <fgColor rgb="FF14283F"/>
        <bgColor rgb="FF0F3260"/>
      </patternFill>
    </fill>
    <fill>
      <patternFill patternType="solid">
        <fgColor rgb="FFC4D3E7"/>
        <bgColor rgb="FFD9D9D9"/>
      </patternFill>
    </fill>
    <fill>
      <patternFill patternType="solid">
        <fgColor rgb="FFFFF6CC"/>
        <bgColor rgb="FFFDE7E4"/>
      </patternFill>
    </fill>
    <fill>
      <patternFill patternType="solid">
        <fgColor rgb="FFEEF2F8"/>
        <bgColor rgb="FFE3F1E8"/>
      </patternFill>
    </fill>
    <fill>
      <patternFill patternType="solid">
        <fgColor rgb="FFE3F1E8"/>
        <bgColor rgb="FFEEF2F8"/>
      </patternFill>
    </fill>
    <fill>
      <patternFill patternType="solid">
        <fgColor rgb="FF1B4D89"/>
        <bgColor rgb="FF0F3260"/>
      </patternFill>
    </fill>
    <fill>
      <patternFill patternType="solid">
        <fgColor rgb="FFE8871A"/>
        <bgColor rgb="FFFF6600"/>
      </patternFill>
    </fill>
  </fills>
  <borders count="2">
    <border diagonalUp="false" diagonalDown="false">
      <left/>
      <right/>
      <top/>
      <bottom/>
      <diagonal/>
    </border>
    <border diagonalUp="false" diagonalDown="false">
      <left style="thin">
        <color rgb="FFB7C2D4"/>
      </left>
      <right style="thin">
        <color rgb="FFB7C2D4"/>
      </right>
      <top style="thin">
        <color rgb="FFB7C2D4"/>
      </top>
      <bottom style="thin">
        <color rgb="FFB7C2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top" textRotation="0" wrapText="false" indent="0" shrinkToFit="false"/>
      <protection locked="true" hidden="false"/>
    </xf>
    <xf numFmtId="166" fontId="14" fillId="6" borderId="1" xfId="0" applyFont="true" applyBorder="true" applyAlignment="true" applyProtection="true">
      <alignment horizontal="center" vertical="center" textRotation="0" wrapText="false" indent="0" shrinkToFit="false"/>
      <protection locked="fals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general" vertical="bottom" textRotation="0" wrapText="false" indent="0" shrinkToFit="false"/>
      <protection locked="true" hidden="false"/>
    </xf>
    <xf numFmtId="166" fontId="6" fillId="7" borderId="1" xfId="0" applyFont="true" applyBorder="true" applyAlignment="true" applyProtection="false">
      <alignment horizontal="center" vertical="center"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6" fontId="15" fillId="5"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8" fontId="15" fillId="5"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6" fontId="14" fillId="6" borderId="1" xfId="0" applyFont="true" applyBorder="true" applyAlignment="true" applyProtection="false">
      <alignment horizontal="center" vertical="center" textRotation="0" wrapText="false" indent="0" shrinkToFit="false"/>
      <protection locked="true" hidden="false"/>
    </xf>
    <xf numFmtId="170" fontId="14" fillId="6" borderId="1" xfId="0" applyFont="true" applyBorder="true" applyAlignment="true" applyProtection="false">
      <alignment horizontal="center" vertical="center" textRotation="0" wrapText="false" indent="0" shrinkToFit="false"/>
      <protection locked="true" hidden="false"/>
    </xf>
    <xf numFmtId="171" fontId="7" fillId="0" borderId="1" xfId="0" applyFont="true" applyBorder="true" applyAlignment="true" applyProtection="false">
      <alignment horizontal="center" vertical="center" textRotation="0" wrapText="false" indent="0" shrinkToFit="false"/>
      <protection locked="true" hidden="false"/>
    </xf>
    <xf numFmtId="172" fontId="14" fillId="6" borderId="1" xfId="0" applyFont="true" applyBorder="true" applyAlignment="true" applyProtection="false">
      <alignment horizontal="center" vertical="center" textRotation="0" wrapText="false" indent="0" shrinkToFit="false"/>
      <protection locked="true" hidden="false"/>
    </xf>
    <xf numFmtId="173" fontId="14" fillId="6" borderId="1" xfId="0" applyFont="true" applyBorder="true" applyAlignment="true" applyProtection="false">
      <alignment horizontal="center" vertical="center" textRotation="0" wrapText="false" indent="0" shrinkToFit="false"/>
      <protection locked="true" hidden="false"/>
    </xf>
    <xf numFmtId="173" fontId="7" fillId="0" borderId="1" xfId="0" applyFont="true" applyBorder="true" applyAlignment="true" applyProtection="false">
      <alignment horizontal="center" vertical="center" textRotation="0" wrapText="false" indent="0" shrinkToFit="false"/>
      <protection locked="true" hidden="false"/>
    </xf>
    <xf numFmtId="173" fontId="6" fillId="5"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74" fontId="14" fillId="6" borderId="1" xfId="0" applyFont="true" applyBorder="true" applyAlignment="true" applyProtection="false">
      <alignment horizontal="center" vertical="center" textRotation="0" wrapText="fals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71" fontId="6" fillId="0" borderId="1" xfId="0" applyFont="true" applyBorder="true" applyAlignment="true" applyProtection="false">
      <alignment horizontal="center" vertical="center" textRotation="0" wrapText="false" indent="0" shrinkToFit="false"/>
      <protection locked="true" hidden="false"/>
    </xf>
    <xf numFmtId="171" fontId="6" fillId="5" borderId="1" xfId="0" applyFont="true" applyBorder="true" applyAlignment="true" applyProtection="false">
      <alignment horizontal="center" vertical="center" textRotation="0" wrapText="false" indent="0" shrinkToFit="false"/>
      <protection locked="true" hidden="false"/>
    </xf>
    <xf numFmtId="172" fontId="6" fillId="5" borderId="1" xfId="0" applyFont="true" applyBorder="true" applyAlignment="true" applyProtection="false">
      <alignment horizontal="center" vertical="center" textRotation="0" wrapText="false" indent="0" shrinkToFit="false"/>
      <protection locked="true" hidden="false"/>
    </xf>
    <xf numFmtId="166" fontId="14" fillId="0" borderId="1" xfId="0" applyFont="true" applyBorder="true" applyAlignment="true" applyProtection="true">
      <alignment horizontal="center" vertical="center" textRotation="0" wrapText="false" indent="0" shrinkToFit="false"/>
      <protection locked="false" hidden="false"/>
    </xf>
    <xf numFmtId="167" fontId="6" fillId="7"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6" fontId="14" fillId="3" borderId="1" xfId="0" applyFont="true" applyBorder="true" applyAlignment="true" applyProtection="true">
      <alignment horizontal="center" vertical="center" textRotation="0" wrapText="false" indent="0" shrinkToFit="false"/>
      <protection locked="false" hidden="false"/>
    </xf>
    <xf numFmtId="166" fontId="7" fillId="3" borderId="1" xfId="0" applyFont="true" applyBorder="true" applyAlignment="true" applyProtection="false">
      <alignment horizontal="center" vertical="center" textRotation="0" wrapText="false" indent="0" shrinkToFit="false"/>
      <protection locked="true" hidden="false"/>
    </xf>
    <xf numFmtId="167" fontId="7" fillId="3" borderId="1"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7" fontId="15" fillId="5"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6" fontId="14" fillId="8" borderId="1" xfId="0" applyFont="true" applyBorder="true" applyAlignment="true" applyProtection="true">
      <alignment horizontal="center" vertical="center" textRotation="0" wrapText="false" indent="0" shrinkToFit="false"/>
      <protection locked="false" hidden="false"/>
    </xf>
    <xf numFmtId="166" fontId="7" fillId="8" borderId="1" xfId="0" applyFont="true" applyBorder="true" applyAlignment="true" applyProtection="false">
      <alignment horizontal="center" vertical="center" textRotation="0" wrapText="false" indent="0" shrinkToFit="false"/>
      <protection locked="true" hidden="false"/>
    </xf>
    <xf numFmtId="167" fontId="7" fillId="8" borderId="1" xfId="0" applyFont="true" applyBorder="true" applyAlignment="true" applyProtection="false">
      <alignment horizontal="center" vertical="center" textRotation="0" wrapText="false" indent="0" shrinkToFit="false"/>
      <protection locked="true" hidden="false"/>
    </xf>
    <xf numFmtId="164" fontId="11" fillId="8"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6" fontId="6" fillId="5" borderId="1" xfId="0" applyFont="true" applyBorder="true" applyAlignment="true" applyProtection="false">
      <alignment horizontal="center" vertical="center" textRotation="0" wrapText="false" indent="0" shrinkToFit="false"/>
      <protection locked="true" hidden="false"/>
    </xf>
    <xf numFmtId="166" fontId="19"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20" fillId="6" borderId="1" xfId="0" applyFont="true" applyBorder="true" applyAlignment="true" applyProtection="false">
      <alignment horizontal="center" vertical="center" textRotation="0" wrapText="false" indent="0" shrinkToFit="false"/>
      <protection locked="true" hidden="false"/>
    </xf>
    <xf numFmtId="172" fontId="7" fillId="0" borderId="1" xfId="0" applyFont="true" applyBorder="true" applyAlignment="true" applyProtection="false">
      <alignment horizontal="center" vertical="center" textRotation="0" wrapText="false" indent="0" shrinkToFit="false"/>
      <protection locked="true" hidden="false"/>
    </xf>
    <xf numFmtId="174" fontId="14" fillId="0" borderId="1" xfId="0" applyFont="true" applyBorder="true" applyAlignment="true" applyProtection="true">
      <alignment horizontal="center" vertical="center" textRotation="0" wrapText="false" indent="0" shrinkToFit="false"/>
      <protection locked="false" hidden="false"/>
    </xf>
    <xf numFmtId="174" fontId="14" fillId="6" borderId="1" xfId="0" applyFont="true" applyBorder="true" applyAlignment="true" applyProtection="true">
      <alignment horizontal="center" vertical="center" textRotation="0" wrapText="false" indent="0" shrinkToFit="false"/>
      <protection locked="false" hidden="false"/>
    </xf>
    <xf numFmtId="169" fontId="19" fillId="0" borderId="1" xfId="0" applyFont="true" applyBorder="true" applyAlignment="true" applyProtection="false">
      <alignment horizontal="center" vertical="center" textRotation="0" wrapText="false" indent="0" shrinkToFit="false"/>
      <protection locked="true" hidden="false"/>
    </xf>
    <xf numFmtId="169" fontId="6" fillId="5" borderId="1" xfId="0" applyFont="true" applyBorder="true" applyAlignment="true" applyProtection="false">
      <alignment horizontal="center" vertical="center" textRotation="0" wrapText="false" indent="0" shrinkToFit="false"/>
      <protection locked="true" hidden="false"/>
    </xf>
    <xf numFmtId="175" fontId="15" fillId="5"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74" fontId="6" fillId="0" borderId="1" xfId="0" applyFont="true" applyBorder="true" applyAlignment="true" applyProtection="false">
      <alignment horizontal="center" vertical="center" textRotation="0" wrapText="false" indent="0" shrinkToFit="false"/>
      <protection locked="true" hidden="false"/>
    </xf>
    <xf numFmtId="176" fontId="6" fillId="0" borderId="1" xfId="0" applyFont="true" applyBorder="true" applyAlignment="true" applyProtection="false">
      <alignment horizontal="center" vertical="center" textRotation="0" wrapText="false" indent="0" shrinkToFit="false"/>
      <protection locked="true" hidden="false"/>
    </xf>
    <xf numFmtId="177" fontId="14" fillId="6" borderId="1" xfId="0" applyFont="true" applyBorder="true" applyAlignment="true" applyProtection="true">
      <alignment horizontal="center" vertical="center" textRotation="0" wrapText="false" indent="0" shrinkToFit="false"/>
      <protection locked="fals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72" fontId="15" fillId="0" borderId="1" xfId="0" applyFont="true" applyBorder="true" applyAlignment="true" applyProtection="false">
      <alignment horizontal="center" vertical="center" textRotation="0" wrapText="false" indent="0" shrinkToFit="false"/>
      <protection locked="true" hidden="false"/>
    </xf>
    <xf numFmtId="178" fontId="7" fillId="0" borderId="1" xfId="0" applyFont="true" applyBorder="true" applyAlignment="true" applyProtection="false">
      <alignment horizontal="center" vertical="center" textRotation="0" wrapText="false" indent="0" shrinkToFit="false"/>
      <protection locked="true" hidden="false"/>
    </xf>
    <xf numFmtId="179" fontId="7" fillId="0" borderId="1" xfId="0" applyFont="true" applyBorder="true" applyAlignment="true" applyProtection="false">
      <alignment horizontal="center" vertical="center" textRotation="0" wrapText="false" indent="0" shrinkToFit="false"/>
      <protection locked="true" hidden="false"/>
    </xf>
    <xf numFmtId="178" fontId="6" fillId="6" borderId="1" xfId="0" applyFont="true" applyBorder="true" applyAlignment="true" applyProtection="false">
      <alignment horizontal="center" vertical="center" textRotation="0" wrapText="false" indent="0" shrinkToFit="false"/>
      <protection locked="true" hidden="false"/>
    </xf>
    <xf numFmtId="166" fontId="6" fillId="6" borderId="1" xfId="0" applyFont="true" applyBorder="true" applyAlignment="true" applyProtection="false">
      <alignment horizontal="center" vertical="center" textRotation="0" wrapText="false" indent="0" shrinkToFit="false"/>
      <protection locked="true" hidden="false"/>
    </xf>
    <xf numFmtId="179" fontId="6" fillId="6" borderId="1" xfId="0" applyFont="true" applyBorder="true" applyAlignment="true" applyProtection="false">
      <alignment horizontal="center" vertical="center" textRotation="0" wrapText="fals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6" fontId="11" fillId="0" borderId="1" xfId="0" applyFont="true" applyBorder="true" applyAlignment="true" applyProtection="false">
      <alignment horizontal="general" vertical="top" textRotation="0" wrapText="true" indent="0" shrinkToFit="false"/>
      <protection locked="true" hidden="false"/>
    </xf>
    <xf numFmtId="172" fontId="14" fillId="6" borderId="1" xfId="0" applyFont="true" applyBorder="true" applyAlignment="true" applyProtection="true">
      <alignment horizontal="center" vertical="center" textRotation="0" wrapText="false" indent="0" shrinkToFit="false"/>
      <protection locked="false" hidden="false"/>
    </xf>
    <xf numFmtId="164" fontId="6" fillId="5" borderId="1" xfId="0" applyFont="true" applyBorder="true" applyAlignment="true" applyProtection="false">
      <alignment horizontal="center" vertical="center" textRotation="0" wrapText="false" indent="0" shrinkToFit="false"/>
      <protection locked="true" hidden="false"/>
    </xf>
    <xf numFmtId="172" fontId="21" fillId="0" borderId="1" xfId="0" applyFont="true" applyBorder="true" applyAlignment="true" applyProtection="false">
      <alignment horizontal="center" vertical="center" textRotation="0" wrapText="false" indent="0" shrinkToFit="false"/>
      <protection locked="true" hidden="false"/>
    </xf>
    <xf numFmtId="172" fontId="8" fillId="3" borderId="1" xfId="0" applyFont="true" applyBorder="true" applyAlignment="true" applyProtection="false">
      <alignment horizontal="center" vertical="center" textRotation="0" wrapText="false" indent="0" shrinkToFit="false"/>
      <protection locked="true" hidden="false"/>
    </xf>
    <xf numFmtId="172" fontId="14" fillId="3" borderId="1" xfId="0" applyFont="true" applyBorder="true" applyAlignment="true" applyProtection="true">
      <alignment horizontal="center" vertical="center" textRotation="0" wrapText="false" indent="0" shrinkToFit="false"/>
      <protection locked="fals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6" fontId="6" fillId="0" borderId="0" xfId="0" applyFont="true" applyBorder="false" applyAlignment="true" applyProtection="false">
      <alignment horizontal="center" vertical="center" textRotation="0" wrapText="false" indent="0" shrinkToFit="false"/>
      <protection locked="true" hidden="false"/>
    </xf>
    <xf numFmtId="180" fontId="15" fillId="5" borderId="1" xfId="0" applyFont="true" applyBorder="true" applyAlignment="true" applyProtection="false">
      <alignment horizontal="center" vertical="center" textRotation="0" wrapText="false" indent="0" shrinkToFit="false"/>
      <protection locked="true" hidden="false"/>
    </xf>
    <xf numFmtId="181" fontId="14" fillId="6" borderId="1" xfId="0" applyFont="true" applyBorder="true" applyAlignment="true" applyProtection="true">
      <alignment horizontal="center" vertical="center" textRotation="0" wrapText="false" indent="0" shrinkToFit="false"/>
      <protection locked="false" hidden="false"/>
    </xf>
    <xf numFmtId="168" fontId="19" fillId="0"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8" fontId="19" fillId="5" borderId="1" xfId="0" applyFont="true" applyBorder="true" applyAlignment="true" applyProtection="false">
      <alignment horizontal="center" vertical="center" textRotation="0" wrapText="false" indent="0" shrinkToFit="false"/>
      <protection locked="true" hidden="false"/>
    </xf>
    <xf numFmtId="169" fontId="7" fillId="5" borderId="1" xfId="0" applyFont="true" applyBorder="true" applyAlignment="true" applyProtection="false">
      <alignment horizontal="center" vertical="center" textRotation="0" wrapText="false" indent="0" shrinkToFit="false"/>
      <protection locked="true" hidden="false"/>
    </xf>
    <xf numFmtId="168" fontId="19" fillId="8" borderId="1" xfId="0" applyFont="true" applyBorder="true" applyAlignment="true" applyProtection="false">
      <alignment horizontal="center" vertical="center" textRotation="0" wrapText="false" indent="0" shrinkToFit="false"/>
      <protection locked="true" hidden="false"/>
    </xf>
    <xf numFmtId="169" fontId="7" fillId="8" borderId="1" xfId="0" applyFont="true" applyBorder="tru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8" fontId="19" fillId="8" borderId="0" xfId="0" applyFont="true" applyBorder="false" applyAlignment="true" applyProtection="false">
      <alignment horizontal="center" vertical="center" textRotation="0" wrapText="false" indent="0" shrinkToFit="false"/>
      <protection locked="true" hidden="false"/>
    </xf>
    <xf numFmtId="173" fontId="14" fillId="6" borderId="1" xfId="0" applyFont="true" applyBorder="true" applyAlignment="true" applyProtection="true">
      <alignment horizontal="center" vertical="center" textRotation="0" wrapText="false" indent="0" shrinkToFit="false"/>
      <protection locked="false" hidden="false"/>
    </xf>
    <xf numFmtId="173" fontId="6" fillId="7" borderId="1" xfId="0" applyFont="true" applyBorder="true" applyAlignment="true" applyProtection="false">
      <alignment horizontal="center" vertical="center" textRotation="0" wrapText="false" indent="0" shrinkToFit="false"/>
      <protection locked="true" hidden="false"/>
    </xf>
    <xf numFmtId="169" fontId="0" fillId="2" borderId="1" xfId="0" applyFont="false" applyBorder="true" applyAlignment="true" applyProtection="false">
      <alignment horizontal="general" vertical="bottom" textRotation="0" wrapText="false" indent="0" shrinkToFit="false"/>
      <protection locked="true" hidden="false"/>
    </xf>
    <xf numFmtId="171" fontId="6" fillId="7" borderId="1" xfId="0" applyFont="true" applyBorder="true" applyAlignment="true" applyProtection="false">
      <alignment horizontal="center" vertical="center" textRotation="0" wrapText="false" indent="0" shrinkToFit="false"/>
      <protection locked="true" hidden="false"/>
    </xf>
    <xf numFmtId="164" fontId="22" fillId="5" borderId="1" xfId="0" applyFont="true" applyBorder="true" applyAlignment="true" applyProtection="false">
      <alignment horizontal="general" vertical="bottom" textRotation="0" wrapText="false" indent="0" shrinkToFit="false"/>
      <protection locked="true" hidden="false"/>
    </xf>
    <xf numFmtId="169" fontId="22" fillId="5"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82" fontId="6" fillId="0" borderId="1" xfId="0" applyFont="true" applyBorder="true" applyAlignment="true" applyProtection="false">
      <alignment horizontal="center" vertical="center" textRotation="0" wrapText="false" indent="0" shrinkToFit="false"/>
      <protection locked="true" hidden="false"/>
    </xf>
    <xf numFmtId="182" fontId="7" fillId="8" borderId="1" xfId="0" applyFont="true" applyBorder="true" applyAlignment="true" applyProtection="false">
      <alignment horizontal="center" vertical="center" textRotation="0" wrapText="false" indent="0" shrinkToFit="false"/>
      <protection locked="true" hidden="false"/>
    </xf>
    <xf numFmtId="169" fontId="15" fillId="5" borderId="1" xfId="0" applyFont="true" applyBorder="true" applyAlignment="true" applyProtection="false">
      <alignment horizontal="center" vertical="center" textRotation="0" wrapText="false" indent="0" shrinkToFit="false"/>
      <protection locked="true" hidden="false"/>
    </xf>
    <xf numFmtId="172" fontId="6" fillId="7" borderId="1" xfId="0" applyFont="true" applyBorder="true" applyAlignment="true" applyProtection="false">
      <alignment horizontal="center" vertical="center" textRotation="0" wrapText="false" indent="0" shrinkToFit="false"/>
      <protection locked="true" hidden="false"/>
    </xf>
    <xf numFmtId="172" fontId="6" fillId="0" borderId="1" xfId="0" applyFont="true" applyBorder="true" applyAlignment="true" applyProtection="false">
      <alignment horizontal="center" vertical="center" textRotation="0" wrapText="fals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10" borderId="1"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5300"/>
      <rgbColor rgb="FF800080"/>
      <rgbColor rgb="FF0B6A4D"/>
      <rgbColor rgb="FFB7C2D4"/>
      <rgbColor rgb="FF4F81BD"/>
      <rgbColor rgb="FF9999FF"/>
      <rgbColor rgb="FF993366"/>
      <rgbColor rgb="FFFFF6CC"/>
      <rgbColor rgb="FFE3F1E8"/>
      <rgbColor rgb="FF660066"/>
      <rgbColor rgb="FFFF8080"/>
      <rgbColor rgb="FF0066CC"/>
      <rgbColor rgb="FFC4D3E7"/>
      <rgbColor rgb="FF000080"/>
      <rgbColor rgb="FFFF00FF"/>
      <rgbColor rgb="FFFFFF00"/>
      <rgbColor rgb="FF00FFFF"/>
      <rgbColor rgb="FF800080"/>
      <rgbColor rgb="FF800000"/>
      <rgbColor rgb="FF008080"/>
      <rgbColor rgb="FF0000FF"/>
      <rgbColor rgb="FF00CCFF"/>
      <rgbColor rgb="FFEEF2F8"/>
      <rgbColor rgb="FFD8E1EE"/>
      <rgbColor rgb="FFFDE7E4"/>
      <rgbColor rgb="FFB3B3B3"/>
      <rgbColor rgb="FFFF99CC"/>
      <rgbColor rgb="FFCC99FF"/>
      <rgbColor rgb="FFD9D9D9"/>
      <rgbColor rgb="FF3366FF"/>
      <rgbColor rgb="FF33CCCC"/>
      <rgbColor rgb="FF99CC00"/>
      <rgbColor rgb="FFFFCC00"/>
      <rgbColor rgb="FFE8871A"/>
      <rgbColor rgb="FFFF6600"/>
      <rgbColor rgb="FF666666"/>
      <rgbColor rgb="FF999999"/>
      <rgbColor rgb="FF0F3260"/>
      <rgbColor rgb="FF339966"/>
      <rgbColor rgb="FF003300"/>
      <rgbColor rgb="FF555555"/>
      <rgbColor rgb="FF9E211B"/>
      <rgbColor rgb="FF993366"/>
      <rgbColor rgb="FF1B4D89"/>
      <rgbColor rgb="FF1428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Product build — P80 swing (person-days)</a:t>
            </a:r>
          </a:p>
        </c:rich>
      </c:tx>
      <c:overlay val="0"/>
      <c:spPr>
        <a:noFill/>
        <a:ln w="0">
          <a:noFill/>
        </a:ln>
      </c:spPr>
    </c:title>
    <c:autoTitleDeleted val="0"/>
    <c:plotArea>
      <c:barChart>
        <c:barDir val="bar"/>
        <c:grouping val="clustered"/>
        <c:varyColors val="0"/>
        <c:ser>
          <c:idx val="0"/>
          <c:order val="0"/>
          <c:tx>
            <c:strRef>
              <c:f>'Product Sensitivity'!F4</c:f>
              <c:strCache>
                <c:ptCount val="1"/>
                <c:pt idx="0">
                  <c:v>Swing (PD)</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'Product Sensitivity'!$B$5:$B$10</c:f>
              <c:strCache>
                <c:ptCount val="6"/>
                <c:pt idx="0">
                  <c:v>Overall estimate accuracy</c:v>
                </c:pt>
                <c:pt idx="1">
                  <c:v>Exogenous risks realised</c:v>
                </c:pt>
                <c:pt idx="2">
                  <c:v>Multi-tenancy depth</c:v>
                </c:pt>
                <c:pt idx="3">
                  <c:v>Certificate templating</c:v>
                </c:pt>
                <c:pt idx="4">
                  <c:v>Correlation between modules</c:v>
                </c:pt>
                <c:pt idx="5">
                  <c:v>Field applications</c:v>
                </c:pt>
              </c:strCache>
            </c:strRef>
          </c:cat>
          <c:val>
            <c:numRef>
              <c:f>'Product Sensitivity'!$F$5:$F$10</c:f>
              <c:numCache>
                <c:formatCode>#,##0</c:formatCode>
                <c:ptCount val="6"/>
                <c:pt idx="0">
                  <c:v>850</c:v>
                </c:pt>
                <c:pt idx="1">
                  <c:v>386</c:v>
                </c:pt>
                <c:pt idx="2">
                  <c:v>175</c:v>
                </c:pt>
                <c:pt idx="3">
                  <c:v>135</c:v>
                </c:pt>
                <c:pt idx="4">
                  <c:v>92</c:v>
                </c:pt>
                <c:pt idx="5">
                  <c:v>92</c:v>
                </c:pt>
              </c:numCache>
            </c:numRef>
          </c:val>
        </c:ser>
        <c:gapWidth val="150"/>
        <c:overlap val="0"/>
        <c:axId val="9249882"/>
        <c:axId val="71449518"/>
      </c:barChart>
      <c:catAx>
        <c:axId val="924988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1449518"/>
        <c:crosses val="autoZero"/>
        <c:auto val="1"/>
        <c:lblAlgn val="ctr"/>
        <c:lblOffset val="100"/>
        <c:noMultiLvlLbl val="0"/>
      </c:catAx>
      <c:valAx>
        <c:axId val="71449518"/>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24988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effort — simulated distribution (rho = 0.5)</a:t>
            </a:r>
          </a:p>
        </c:rich>
      </c:tx>
      <c:overlay val="0"/>
      <c:spPr>
        <a:noFill/>
        <a:ln w="0">
          <a:noFill/>
        </a:ln>
      </c:spPr>
    </c:title>
    <c:autoTitleDeleted val="0"/>
    <c:plotArea>
      <c:barChart>
        <c:barDir val="col"/>
        <c:grouping val="clustered"/>
        <c:varyColors val="0"/>
        <c:ser>
          <c:idx val="0"/>
          <c:order val="0"/>
          <c:tx>
            <c:strRef>
              <c:f>'Monte Carlo'!C38</c:f>
              <c:strCache>
                <c:ptCount val="1"/>
                <c:pt idx="0">
                  <c:v>Iterations (count)</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'Monte Carlo'!$B$39:$B$66</c:f>
              <c:strCache>
                <c:ptCount val="28"/>
                <c:pt idx="0">
                  <c:v>2,092</c:v>
                </c:pt>
                <c:pt idx="1">
                  <c:v>2,183</c:v>
                </c:pt>
                <c:pt idx="2">
                  <c:v>2,274</c:v>
                </c:pt>
                <c:pt idx="3">
                  <c:v>2,365</c:v>
                </c:pt>
                <c:pt idx="4">
                  <c:v>2,456</c:v>
                </c:pt>
                <c:pt idx="5">
                  <c:v>2,547</c:v>
                </c:pt>
                <c:pt idx="6">
                  <c:v>2,638</c:v>
                </c:pt>
                <c:pt idx="7">
                  <c:v>2,729</c:v>
                </c:pt>
                <c:pt idx="8">
                  <c:v>2,820</c:v>
                </c:pt>
                <c:pt idx="9">
                  <c:v>2,911</c:v>
                </c:pt>
                <c:pt idx="10">
                  <c:v>3,002</c:v>
                </c:pt>
                <c:pt idx="11">
                  <c:v>3,093</c:v>
                </c:pt>
                <c:pt idx="12">
                  <c:v>3,184</c:v>
                </c:pt>
                <c:pt idx="13">
                  <c:v>3,274</c:v>
                </c:pt>
                <c:pt idx="14">
                  <c:v>3,365</c:v>
                </c:pt>
                <c:pt idx="15">
                  <c:v>3,456</c:v>
                </c:pt>
                <c:pt idx="16">
                  <c:v>3,547</c:v>
                </c:pt>
                <c:pt idx="17">
                  <c:v>3,638</c:v>
                </c:pt>
                <c:pt idx="18">
                  <c:v>3,729</c:v>
                </c:pt>
                <c:pt idx="19">
                  <c:v>3,820</c:v>
                </c:pt>
                <c:pt idx="20">
                  <c:v>3,911</c:v>
                </c:pt>
                <c:pt idx="21">
                  <c:v>4,002</c:v>
                </c:pt>
                <c:pt idx="22">
                  <c:v>4,093</c:v>
                </c:pt>
                <c:pt idx="23">
                  <c:v>4,184</c:v>
                </c:pt>
                <c:pt idx="24">
                  <c:v>4,275</c:v>
                </c:pt>
                <c:pt idx="25">
                  <c:v>4,366</c:v>
                </c:pt>
                <c:pt idx="26">
                  <c:v>4,457</c:v>
                </c:pt>
                <c:pt idx="27">
                  <c:v>4,548</c:v>
                </c:pt>
              </c:strCache>
            </c:strRef>
          </c:cat>
          <c:val>
            <c:numRef>
              <c:f>'Monte Carlo'!$C$39:$C$66</c:f>
              <c:numCache>
                <c:formatCode>#,##0</c:formatCode>
                <c:ptCount val="28"/>
                <c:pt idx="0">
                  <c:v>5</c:v>
                </c:pt>
                <c:pt idx="1">
                  <c:v>5</c:v>
                </c:pt>
                <c:pt idx="2">
                  <c:v>48</c:v>
                </c:pt>
                <c:pt idx="3">
                  <c:v>155</c:v>
                </c:pt>
                <c:pt idx="4">
                  <c:v>350</c:v>
                </c:pt>
                <c:pt idx="5">
                  <c:v>786</c:v>
                </c:pt>
                <c:pt idx="6">
                  <c:v>1501</c:v>
                </c:pt>
                <c:pt idx="7">
                  <c:v>2590</c:v>
                </c:pt>
                <c:pt idx="8">
                  <c:v>3921</c:v>
                </c:pt>
                <c:pt idx="9">
                  <c:v>5495</c:v>
                </c:pt>
                <c:pt idx="10">
                  <c:v>7225</c:v>
                </c:pt>
                <c:pt idx="11">
                  <c:v>8474</c:v>
                </c:pt>
                <c:pt idx="12">
                  <c:v>9563</c:v>
                </c:pt>
                <c:pt idx="13">
                  <c:v>10350</c:v>
                </c:pt>
                <c:pt idx="14">
                  <c:v>10296</c:v>
                </c:pt>
                <c:pt idx="15">
                  <c:v>9685</c:v>
                </c:pt>
                <c:pt idx="16">
                  <c:v>8343</c:v>
                </c:pt>
                <c:pt idx="17">
                  <c:v>6899</c:v>
                </c:pt>
                <c:pt idx="18">
                  <c:v>5328</c:v>
                </c:pt>
                <c:pt idx="19">
                  <c:v>3591</c:v>
                </c:pt>
                <c:pt idx="20">
                  <c:v>2417</c:v>
                </c:pt>
                <c:pt idx="21">
                  <c:v>1486</c:v>
                </c:pt>
                <c:pt idx="22">
                  <c:v>809</c:v>
                </c:pt>
                <c:pt idx="23">
                  <c:v>408</c:v>
                </c:pt>
                <c:pt idx="24">
                  <c:v>186</c:v>
                </c:pt>
                <c:pt idx="25">
                  <c:v>55</c:v>
                </c:pt>
                <c:pt idx="26">
                  <c:v>22</c:v>
                </c:pt>
                <c:pt idx="27">
                  <c:v>7</c:v>
                </c:pt>
              </c:numCache>
            </c:numRef>
          </c:val>
        </c:ser>
        <c:gapWidth val="8"/>
        <c:overlap val="0"/>
        <c:axId val="85192434"/>
        <c:axId val="17656755"/>
      </c:barChart>
      <c:catAx>
        <c:axId val="8519243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Person-days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7656755"/>
        <c:crosses val="autoZero"/>
        <c:auto val="1"/>
        <c:lblAlgn val="ctr"/>
        <c:lblOffset val="100"/>
        <c:noMultiLvlLbl val="0"/>
      </c:catAx>
      <c:valAx>
        <c:axId val="17656755"/>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Iterations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519243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What moves the estimate — P80 swing (person-days)</a:t>
            </a:r>
          </a:p>
        </c:rich>
      </c:tx>
      <c:overlay val="0"/>
      <c:spPr>
        <a:noFill/>
        <a:ln w="0">
          <a:noFill/>
        </a:ln>
      </c:spPr>
    </c:title>
    <c:autoTitleDeleted val="0"/>
    <c:plotArea>
      <c:barChart>
        <c:barDir val="bar"/>
        <c:grouping val="clustered"/>
        <c:varyColors val="0"/>
        <c:ser>
          <c:idx val="0"/>
          <c:order val="0"/>
          <c:tx>
            <c:strRef>
              <c:f>Sensitivity!E4</c:f>
              <c:strCache>
                <c:ptCount val="1"/>
                <c:pt idx="0">
                  <c:v>Swing (PD)</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Sensitivity!$B$5:$B$14</c:f>
              <c:strCache>
                <c:ptCount val="10"/>
                <c:pt idx="0">
                  <c:v>Requirement volatility (module spreads +/-30%)</c:v>
                </c:pt>
                <c:pt idx="1">
                  <c:v>Unification savings realised vs not</c:v>
                </c:pt>
                <c:pt idx="2">
                  <c:v>Commerce scope reconciled before award</c:v>
                </c:pt>
                <c:pt idx="3">
                  <c:v>AI layer scope (workstream M)</c:v>
                </c:pt>
                <c:pt idx="4">
                  <c:v>Content and catalogue migration (P, N2, N9)</c:v>
                </c:pt>
                <c:pt idx="5">
                  <c:v>Mobile: cross-platform vs two native codebases</c:v>
                </c:pt>
                <c:pt idx="6">
                  <c:v>Attrition and re-ramp</c:v>
                </c:pt>
                <c:pt idx="7">
                  <c:v>Forum and engagement scope (K6, K7)</c:v>
                </c:pt>
                <c:pt idx="8">
                  <c:v>CoA source data / LIMS availability</c:v>
                </c:pt>
                <c:pt idx="9">
                  <c:v>Certification remediation cycles</c:v>
                </c:pt>
              </c:strCache>
            </c:strRef>
          </c:cat>
          <c:val>
            <c:numRef>
              <c:f>Sensitivity!$E$5:$E$14</c:f>
              <c:numCache>
                <c:formatCode>#,##0</c:formatCode>
                <c:ptCount val="10"/>
                <c:pt idx="0">
                  <c:v>1646</c:v>
                </c:pt>
                <c:pt idx="1">
                  <c:v>503</c:v>
                </c:pt>
                <c:pt idx="2">
                  <c:v>322</c:v>
                </c:pt>
                <c:pt idx="3">
                  <c:v>226</c:v>
                </c:pt>
                <c:pt idx="4">
                  <c:v>159</c:v>
                </c:pt>
                <c:pt idx="5">
                  <c:v>135</c:v>
                </c:pt>
                <c:pt idx="6">
                  <c:v>97</c:v>
                </c:pt>
                <c:pt idx="7">
                  <c:v>79</c:v>
                </c:pt>
                <c:pt idx="8">
                  <c:v>44</c:v>
                </c:pt>
                <c:pt idx="9">
                  <c:v>32</c:v>
                </c:pt>
              </c:numCache>
            </c:numRef>
          </c:val>
        </c:ser>
        <c:gapWidth val="150"/>
        <c:overlap val="0"/>
        <c:axId val="71194617"/>
        <c:axId val="29345102"/>
      </c:barChart>
      <c:catAx>
        <c:axId val="7119461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9345102"/>
        <c:crosses val="autoZero"/>
        <c:auto val="1"/>
        <c:lblAlgn val="ctr"/>
        <c:lblOffset val="100"/>
        <c:noMultiLvlLbl val="0"/>
      </c:catAx>
      <c:valAx>
        <c:axId val="29345102"/>
        <c:scaling>
          <c:orientation val="minMax"/>
        </c:scaling>
        <c:delete val="0"/>
        <c:axPos val="l"/>
        <c:majorGridlines>
          <c:spPr>
            <a:ln w="0">
              <a:solidFill>
                <a:srgbClr val="b3b3b3"/>
              </a:solidFill>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Swing (PD)</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119461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IPC routes — build cost, mid-tier (INR crore)</a:t>
            </a:r>
          </a:p>
        </c:rich>
      </c:tx>
      <c:overlay val="0"/>
      <c:spPr>
        <a:noFill/>
        <a:ln w="0">
          <a:noFill/>
        </a:ln>
      </c:spPr>
    </c:title>
    <c:autoTitleDeleted val="0"/>
    <c:plotArea>
      <c:barChart>
        <c:barDir val="col"/>
        <c:grouping val="clustered"/>
        <c:varyColors val="0"/>
        <c:ser>
          <c:idx val="0"/>
          <c:order val="0"/>
          <c:tx>
            <c:strRef>
              <c:f>'Scenarios &amp; Cost'!E4</c:f>
              <c:strCache>
                <c:ptCount val="1"/>
                <c:pt idx="0">
                  <c:v>Mid-tier Cr</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 &amp; Cost'!$B$5:$B$9</c:f>
              <c:strCache>
                <c:ptCount val="5"/>
                <c:pt idx="0">
                  <c:v>Two independent builds, as documented</c:v>
                </c:pt>
                <c:pt idx="1">
                  <c:v>Unified platform, two front ends</c:v>
                </c:pt>
                <c:pt idx="2">
                  <c:v>Unified, phase 1 release only</c:v>
                </c:pt>
                <c:pt idx="3">
                  <c:v>Replatform the existing estate, do not rebuild</c:v>
                </c:pt>
                <c:pt idx="4">
                  <c:v>IPC adopts the product (Lotmark tenant)</c:v>
                </c:pt>
              </c:strCache>
            </c:strRef>
          </c:cat>
          <c:val>
            <c:numRef>
              <c:f>'Scenarios &amp; Cost'!$E$5:$E$9</c:f>
              <c:numCache>
                <c:formatCode>\₹#,##0.00" Cr"</c:formatCode>
                <c:ptCount val="5"/>
                <c:pt idx="0">
                  <c:v>6.38486</c:v>
                </c:pt>
                <c:pt idx="1">
                  <c:v>5.619282</c:v>
                </c:pt>
                <c:pt idx="2">
                  <c:v>4.334745</c:v>
                </c:pt>
                <c:pt idx="3">
                  <c:v>5.057959</c:v>
                </c:pt>
                <c:pt idx="4">
                  <c:v>4.216731</c:v>
                </c:pt>
              </c:numCache>
            </c:numRef>
          </c:val>
        </c:ser>
        <c:gapWidth val="150"/>
        <c:overlap val="0"/>
        <c:axId val="58492402"/>
        <c:axId val="61147551"/>
      </c:barChart>
      <c:catAx>
        <c:axId val="5849240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1147551"/>
        <c:crosses val="autoZero"/>
        <c:auto val="1"/>
        <c:lblAlgn val="ctr"/>
        <c:lblOffset val="100"/>
        <c:noMultiLvlLbl val="0"/>
      </c:catAx>
      <c:valAx>
        <c:axId val="61147551"/>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INR crore</a:t>
                </a:r>
              </a:p>
            </c:rich>
          </c:tx>
          <c:overlay val="0"/>
          <c:spPr>
            <a:noFill/>
            <a:ln w="0">
              <a:noFill/>
            </a:ln>
          </c:spPr>
        </c:title>
        <c:numFmt formatCode="\₹#,##0.00&quot; Cr&quot;"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849240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351360</xdr:rowOff>
    </xdr:from>
    <xdr:to>
      <xdr:col>19</xdr:col>
      <xdr:colOff>110520</xdr:colOff>
      <xdr:row>22</xdr:row>
      <xdr:rowOff>82440</xdr:rowOff>
    </xdr:to>
    <xdr:graphicFrame>
      <xdr:nvGraphicFramePr>
        <xdr:cNvPr id="0" name="Chart 1"/>
        <xdr:cNvGraphicFramePr/>
      </xdr:nvGraphicFramePr>
      <xdr:xfrm>
        <a:off x="11536560" y="951480"/>
        <a:ext cx="6837120" cy="3588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37</xdr:row>
      <xdr:rowOff>160920</xdr:rowOff>
    </xdr:from>
    <xdr:to>
      <xdr:col>10</xdr:col>
      <xdr:colOff>415800</xdr:colOff>
      <xdr:row>52</xdr:row>
      <xdr:rowOff>175320</xdr:rowOff>
    </xdr:to>
    <xdr:graphicFrame>
      <xdr:nvGraphicFramePr>
        <xdr:cNvPr id="1" name="Chart 1"/>
        <xdr:cNvGraphicFramePr/>
      </xdr:nvGraphicFramePr>
      <xdr:xfrm>
        <a:off x="5427360" y="9924120"/>
        <a:ext cx="7912080" cy="28717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4</xdr:row>
      <xdr:rowOff>0</xdr:rowOff>
    </xdr:from>
    <xdr:to>
      <xdr:col>18</xdr:col>
      <xdr:colOff>470160</xdr:colOff>
      <xdr:row>17</xdr:row>
      <xdr:rowOff>146520</xdr:rowOff>
    </xdr:to>
    <xdr:graphicFrame>
      <xdr:nvGraphicFramePr>
        <xdr:cNvPr id="2" name="Chart 1"/>
        <xdr:cNvGraphicFramePr/>
      </xdr:nvGraphicFramePr>
      <xdr:xfrm>
        <a:off x="11630160" y="981000"/>
        <a:ext cx="7196760" cy="3956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12</xdr:row>
      <xdr:rowOff>0</xdr:rowOff>
    </xdr:from>
    <xdr:to>
      <xdr:col>18</xdr:col>
      <xdr:colOff>361800</xdr:colOff>
      <xdr:row>28</xdr:row>
      <xdr:rowOff>84240</xdr:rowOff>
    </xdr:to>
    <xdr:graphicFrame>
      <xdr:nvGraphicFramePr>
        <xdr:cNvPr id="3" name="Chart 1"/>
        <xdr:cNvGraphicFramePr/>
      </xdr:nvGraphicFramePr>
      <xdr:xfrm>
        <a:off x="11677680" y="3772080"/>
        <a:ext cx="6476760" cy="3236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_rels/sheet17.xml.rels><?xml version="1.0" encoding="UTF-8"?>
<Relationships xmlns="http://schemas.openxmlformats.org/package/2006/relationships"><Relationship Id="rId1" Type="http://schemas.openxmlformats.org/officeDocument/2006/relationships/drawing" Target="../drawings/drawing3.xml"/>
</Relationships>
</file>

<file path=xl/worksheets/_rels/sheet19.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7"/>
    <col collapsed="false" customWidth="true" hidden="false" outlineLevel="0" max="3" min="3" style="1" width="10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B4" s="4" t="s">
        <v>2</v>
      </c>
      <c r="C4" s="5"/>
    </row>
    <row r="5" customFormat="false" ht="27.75" hidden="false" customHeight="true" outlineLevel="0" collapsed="false">
      <c r="B5" s="4" t="s">
        <v>3</v>
      </c>
      <c r="C5" s="5" t="s">
        <v>4</v>
      </c>
    </row>
    <row r="6" customFormat="false" ht="42" hidden="false" customHeight="true" outlineLevel="0" collapsed="false">
      <c r="B6" s="4" t="s">
        <v>5</v>
      </c>
      <c r="C6" s="5" t="s">
        <v>6</v>
      </c>
    </row>
    <row r="7" customFormat="false" ht="27.75" hidden="false" customHeight="true" outlineLevel="0" collapsed="false">
      <c r="B7" s="4" t="s">
        <v>7</v>
      </c>
      <c r="C7" s="5" t="s">
        <v>8</v>
      </c>
    </row>
    <row r="8" customFormat="false" ht="27.75" hidden="false" customHeight="true" outlineLevel="0" collapsed="false">
      <c r="B8" s="4" t="s">
        <v>9</v>
      </c>
      <c r="C8" s="5" t="s">
        <v>10</v>
      </c>
    </row>
    <row r="9" customFormat="false" ht="27.75" hidden="false" customHeight="true" outlineLevel="0" collapsed="false">
      <c r="B9" s="4" t="s">
        <v>11</v>
      </c>
      <c r="C9" s="5" t="s">
        <v>12</v>
      </c>
    </row>
    <row r="10" customFormat="false" ht="27.75" hidden="false" customHeight="true" outlineLevel="0" collapsed="false">
      <c r="B10" s="4" t="s">
        <v>13</v>
      </c>
      <c r="C10" s="5" t="s">
        <v>14</v>
      </c>
    </row>
    <row r="11" customFormat="false" ht="15" hidden="false" customHeight="true" outlineLevel="0" collapsed="false">
      <c r="B11" s="6"/>
      <c r="C11" s="5"/>
    </row>
    <row r="12" customFormat="false" ht="15" hidden="false" customHeight="true" outlineLevel="0" collapsed="false">
      <c r="B12" s="7" t="s">
        <v>15</v>
      </c>
      <c r="C12" s="8" t="s">
        <v>16</v>
      </c>
    </row>
    <row r="13" customFormat="false" ht="27.75" hidden="false" customHeight="true" outlineLevel="0" collapsed="false">
      <c r="B13" s="4" t="s">
        <v>17</v>
      </c>
      <c r="C13" s="5" t="s">
        <v>18</v>
      </c>
    </row>
    <row r="14" customFormat="false" ht="42" hidden="false" customHeight="true" outlineLevel="0" collapsed="false">
      <c r="B14" s="4" t="s">
        <v>19</v>
      </c>
      <c r="C14" s="5" t="s">
        <v>20</v>
      </c>
    </row>
    <row r="15" customFormat="false" ht="42" hidden="false" customHeight="true" outlineLevel="0" collapsed="false">
      <c r="B15" s="4" t="s">
        <v>21</v>
      </c>
      <c r="C15" s="5" t="s">
        <v>22</v>
      </c>
    </row>
    <row r="16" customFormat="false" ht="42" hidden="false" customHeight="true" outlineLevel="0" collapsed="false">
      <c r="B16" s="4" t="s">
        <v>23</v>
      </c>
      <c r="C16" s="5" t="s">
        <v>24</v>
      </c>
    </row>
    <row r="17" customFormat="false" ht="27.75" hidden="false" customHeight="true" outlineLevel="0" collapsed="false">
      <c r="B17" s="4" t="s">
        <v>25</v>
      </c>
      <c r="C17" s="5" t="s">
        <v>26</v>
      </c>
    </row>
    <row r="18" customFormat="false" ht="42" hidden="false" customHeight="true" outlineLevel="0" collapsed="false">
      <c r="B18" s="4" t="s">
        <v>27</v>
      </c>
      <c r="C18" s="5" t="s">
        <v>28</v>
      </c>
    </row>
    <row r="19" customFormat="false" ht="27.75" hidden="false" customHeight="true" outlineLevel="0" collapsed="false">
      <c r="B19" s="4" t="s">
        <v>29</v>
      </c>
      <c r="C19" s="5" t="s">
        <v>30</v>
      </c>
    </row>
    <row r="20" customFormat="false" ht="42" hidden="false" customHeight="true" outlineLevel="0" collapsed="false">
      <c r="B20" s="4" t="s">
        <v>31</v>
      </c>
      <c r="C20" s="5" t="s">
        <v>32</v>
      </c>
    </row>
    <row r="21" customFormat="false" ht="55.5" hidden="false" customHeight="true" outlineLevel="0" collapsed="false">
      <c r="B21" s="9" t="s">
        <v>33</v>
      </c>
      <c r="C21" s="10" t="s">
        <v>34</v>
      </c>
    </row>
    <row r="22" customFormat="false" ht="27.75" hidden="false" customHeight="true" outlineLevel="0" collapsed="false">
      <c r="B22" s="4" t="s">
        <v>35</v>
      </c>
      <c r="C22" s="5" t="s">
        <v>36</v>
      </c>
    </row>
    <row r="23" customFormat="false" ht="42" hidden="false" customHeight="true" outlineLevel="0" collapsed="false">
      <c r="B23" s="4" t="s">
        <v>37</v>
      </c>
      <c r="C23" s="5" t="s">
        <v>38</v>
      </c>
    </row>
    <row r="24" customFormat="false" ht="55.5" hidden="false" customHeight="true" outlineLevel="0" collapsed="false">
      <c r="B24" s="4" t="s">
        <v>39</v>
      </c>
      <c r="C24" s="5" t="s">
        <v>40</v>
      </c>
    </row>
    <row r="25" customFormat="false" ht="15" hidden="false" customHeight="true" outlineLevel="0" collapsed="false">
      <c r="B25" s="6"/>
      <c r="C25" s="5"/>
    </row>
    <row r="26" customFormat="false" ht="15" hidden="false" customHeight="true" outlineLevel="0" collapsed="false">
      <c r="B26" s="7" t="s">
        <v>41</v>
      </c>
      <c r="C26" s="8"/>
    </row>
    <row r="27" customFormat="false" ht="55.5" hidden="false" customHeight="true" outlineLevel="0" collapsed="false">
      <c r="B27" s="7" t="s">
        <v>42</v>
      </c>
      <c r="C27" s="8" t="s">
        <v>43</v>
      </c>
    </row>
    <row r="28" customFormat="false" ht="42" hidden="false" customHeight="true" outlineLevel="0" collapsed="false">
      <c r="B28" s="7" t="s">
        <v>44</v>
      </c>
      <c r="C28" s="8" t="s">
        <v>45</v>
      </c>
    </row>
    <row r="29" customFormat="false" ht="55.5" hidden="false" customHeight="true" outlineLevel="0" collapsed="false">
      <c r="B29" s="7" t="s">
        <v>46</v>
      </c>
      <c r="C29" s="8" t="s">
        <v>47</v>
      </c>
    </row>
    <row r="30" customFormat="false" ht="42" hidden="false" customHeight="true" outlineLevel="0" collapsed="false">
      <c r="B30" s="4" t="s">
        <v>48</v>
      </c>
      <c r="C30" s="5" t="s">
        <v>49</v>
      </c>
    </row>
    <row r="31" customFormat="false" ht="15" hidden="false" customHeight="true" outlineLevel="0" collapsed="false">
      <c r="B31" s="6"/>
      <c r="C31" s="5"/>
    </row>
    <row r="32" customFormat="false" ht="27.75" hidden="false" customHeight="true" outlineLevel="0" collapsed="false">
      <c r="B32" s="7" t="s">
        <v>50</v>
      </c>
      <c r="C32" s="8" t="s">
        <v>51</v>
      </c>
    </row>
    <row r="33" customFormat="false" ht="27.75" hidden="false" customHeight="true" outlineLevel="0" collapsed="false">
      <c r="B33" s="4" t="s">
        <v>52</v>
      </c>
      <c r="C33" s="5" t="s">
        <v>53</v>
      </c>
    </row>
    <row r="34" customFormat="false" ht="27.75" hidden="false" customHeight="true" outlineLevel="0" collapsed="false">
      <c r="B34" s="4" t="s">
        <v>54</v>
      </c>
      <c r="C34" s="5" t="s">
        <v>55</v>
      </c>
    </row>
    <row r="36" customFormat="false" ht="15" hidden="false" customHeight="true" outlineLevel="0" collapsed="false">
      <c r="B36" s="11" t="s">
        <v>56</v>
      </c>
      <c r="C36" s="12"/>
    </row>
    <row r="37" customFormat="false" ht="30" hidden="false" customHeight="true" outlineLevel="0" collapsed="false">
      <c r="B37" s="13" t="s">
        <v>57</v>
      </c>
      <c r="C37" s="14" t="s">
        <v>58</v>
      </c>
    </row>
    <row r="38" customFormat="false" ht="30" hidden="false" customHeight="true" outlineLevel="0" collapsed="false">
      <c r="B38" s="13" t="s">
        <v>59</v>
      </c>
      <c r="C38" s="14" t="s">
        <v>60</v>
      </c>
    </row>
    <row r="39" customFormat="false" ht="30" hidden="false" customHeight="true" outlineLevel="0" collapsed="false">
      <c r="B39" s="13" t="s">
        <v>61</v>
      </c>
      <c r="C39" s="14" t="s">
        <v>62</v>
      </c>
    </row>
    <row r="40" customFormat="false" ht="30" hidden="false" customHeight="true" outlineLevel="0" collapsed="false">
      <c r="B40" s="13" t="s">
        <v>63</v>
      </c>
      <c r="C40" s="14" t="s">
        <v>64</v>
      </c>
    </row>
    <row r="42" customFormat="false" ht="15" hidden="false" customHeight="true" outlineLevel="0" collapsed="false">
      <c r="B42" s="11" t="s">
        <v>65</v>
      </c>
      <c r="C42" s="15"/>
    </row>
    <row r="43" customFormat="false" ht="27.75" hidden="false" customHeight="true" outlineLevel="0" collapsed="false">
      <c r="B43" s="4" t="s">
        <v>66</v>
      </c>
      <c r="C43" s="5" t="s">
        <v>67</v>
      </c>
    </row>
    <row r="44" customFormat="false" ht="15" hidden="false" customHeight="true" outlineLevel="0" collapsed="false">
      <c r="B44" s="4" t="s">
        <v>68</v>
      </c>
      <c r="C44" s="5" t="s">
        <v>69</v>
      </c>
    </row>
    <row r="45" customFormat="false" ht="27.75" hidden="false" customHeight="true" outlineLevel="0" collapsed="false">
      <c r="B45" s="4" t="s">
        <v>70</v>
      </c>
      <c r="C45" s="5" t="s">
        <v>71</v>
      </c>
    </row>
    <row r="46" customFormat="false" ht="15" hidden="false" customHeight="true" outlineLevel="0" collapsed="false">
      <c r="B46" s="4" t="s">
        <v>72</v>
      </c>
      <c r="C46" s="5" t="s">
        <v>73</v>
      </c>
    </row>
    <row r="47" customFormat="false" ht="27.75" hidden="false" customHeight="true" outlineLevel="0" collapsed="false">
      <c r="B47" s="4" t="s">
        <v>74</v>
      </c>
      <c r="C47" s="5" t="s">
        <v>75</v>
      </c>
    </row>
    <row r="48" customFormat="false" ht="15" hidden="false" customHeight="true" outlineLevel="0" collapsed="false">
      <c r="B48" s="4" t="s">
        <v>76</v>
      </c>
      <c r="C48" s="5" t="s">
        <v>77</v>
      </c>
    </row>
    <row r="49" customFormat="false" ht="27.75" hidden="false" customHeight="true" outlineLevel="0" collapsed="false">
      <c r="B49" s="4" t="s">
        <v>78</v>
      </c>
      <c r="C49" s="5" t="s">
        <v>79</v>
      </c>
    </row>
    <row r="50" customFormat="false" ht="15" hidden="false" customHeight="true" outlineLevel="0" collapsed="false">
      <c r="B50" s="4" t="s">
        <v>80</v>
      </c>
      <c r="C50" s="5" t="s">
        <v>81</v>
      </c>
    </row>
    <row r="51" customFormat="false" ht="15" hidden="false" customHeight="true" outlineLevel="0" collapsed="false">
      <c r="B51" s="4" t="s">
        <v>82</v>
      </c>
      <c r="C51" s="5" t="s">
        <v>83</v>
      </c>
    </row>
    <row r="52" customFormat="false" ht="15" hidden="false" customHeight="true" outlineLevel="0" collapsed="false">
      <c r="B52" s="4" t="s">
        <v>84</v>
      </c>
      <c r="C52" s="5" t="s">
        <v>85</v>
      </c>
    </row>
    <row r="53" customFormat="false" ht="15" hidden="false" customHeight="true" outlineLevel="0" collapsed="false">
      <c r="B53" s="4" t="s">
        <v>86</v>
      </c>
      <c r="C53" s="5" t="s">
        <v>87</v>
      </c>
    </row>
    <row r="54" customFormat="false" ht="15" hidden="false" customHeight="true" outlineLevel="0" collapsed="false">
      <c r="B54" s="4" t="s">
        <v>88</v>
      </c>
      <c r="C54" s="5" t="s">
        <v>89</v>
      </c>
    </row>
    <row r="55" customFormat="false" ht="27.75" hidden="false" customHeight="true" outlineLevel="0" collapsed="false">
      <c r="B55" s="4" t="s">
        <v>90</v>
      </c>
      <c r="C55" s="5" t="s">
        <v>91</v>
      </c>
    </row>
  </sheetData>
  <sheetProtection sheet="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6"/>
    <col collapsed="false" customWidth="true" hidden="false" outlineLevel="0" max="3" min="3" style="1" width="15"/>
    <col collapsed="false" customWidth="true" hidden="false" outlineLevel="0" max="4" min="4" style="1" width="62"/>
  </cols>
  <sheetData>
    <row r="1" customFormat="false" ht="17.25" hidden="false" customHeight="true" outlineLevel="0" collapsed="false">
      <c r="A1" s="2" t="s">
        <v>92</v>
      </c>
    </row>
    <row r="2" customFormat="false" ht="15" hidden="false" customHeight="true" outlineLevel="0" collapsed="false">
      <c r="A2" s="3" t="s">
        <v>93</v>
      </c>
    </row>
    <row r="4" customFormat="false" ht="15" hidden="false" customHeight="true" outlineLevel="0" collapsed="false">
      <c r="B4" s="11" t="s">
        <v>94</v>
      </c>
      <c r="C4" s="15"/>
      <c r="D4" s="15"/>
    </row>
    <row r="5" customFormat="false" ht="25.5" hidden="false" customHeight="true" outlineLevel="0" collapsed="false">
      <c r="A5" s="16" t="s">
        <v>95</v>
      </c>
      <c r="B5" s="16" t="s">
        <v>96</v>
      </c>
      <c r="C5" s="16" t="s">
        <v>97</v>
      </c>
      <c r="D5" s="16" t="s">
        <v>98</v>
      </c>
    </row>
    <row r="6" customFormat="false" ht="43.5" hidden="false" customHeight="true" outlineLevel="0" collapsed="false">
      <c r="A6" s="17" t="s">
        <v>99</v>
      </c>
      <c r="B6" s="13" t="s">
        <v>100</v>
      </c>
      <c r="C6" s="18" t="s">
        <v>101</v>
      </c>
      <c r="D6" s="19" t="s">
        <v>102</v>
      </c>
    </row>
    <row r="7" customFormat="false" ht="43.5" hidden="false" customHeight="true" outlineLevel="0" collapsed="false">
      <c r="A7" s="17" t="s">
        <v>103</v>
      </c>
      <c r="B7" s="13" t="s">
        <v>104</v>
      </c>
      <c r="C7" s="18" t="s">
        <v>105</v>
      </c>
      <c r="D7" s="19" t="s">
        <v>106</v>
      </c>
    </row>
    <row r="8" customFormat="false" ht="43.5" hidden="false" customHeight="true" outlineLevel="0" collapsed="false">
      <c r="A8" s="17" t="s">
        <v>107</v>
      </c>
      <c r="B8" s="13" t="s">
        <v>108</v>
      </c>
      <c r="C8" s="18" t="s">
        <v>109</v>
      </c>
      <c r="D8" s="19" t="s">
        <v>110</v>
      </c>
    </row>
    <row r="10" customFormat="false" ht="15" hidden="false" customHeight="true" outlineLevel="0" collapsed="false">
      <c r="B10" s="11" t="s">
        <v>111</v>
      </c>
      <c r="C10" s="15"/>
      <c r="D10" s="15"/>
    </row>
    <row r="11" customFormat="false" ht="25.5" hidden="false" customHeight="true" outlineLevel="0" collapsed="false">
      <c r="A11" s="16" t="s">
        <v>112</v>
      </c>
      <c r="B11" s="16" t="s">
        <v>113</v>
      </c>
      <c r="C11" s="16" t="s">
        <v>114</v>
      </c>
      <c r="D11" s="16" t="s">
        <v>115</v>
      </c>
    </row>
    <row r="12" customFormat="false" ht="39.75" hidden="false" customHeight="true" outlineLevel="0" collapsed="false">
      <c r="A12" s="17" t="n">
        <v>1</v>
      </c>
      <c r="B12" s="20" t="s">
        <v>116</v>
      </c>
      <c r="C12" s="14" t="s">
        <v>117</v>
      </c>
      <c r="D12" s="19" t="s">
        <v>118</v>
      </c>
    </row>
    <row r="13" customFormat="false" ht="39.75" hidden="false" customHeight="true" outlineLevel="0" collapsed="false">
      <c r="A13" s="17" t="n">
        <v>2</v>
      </c>
      <c r="B13" s="20" t="s">
        <v>119</v>
      </c>
      <c r="C13" s="14" t="s">
        <v>120</v>
      </c>
      <c r="D13" s="19" t="s">
        <v>121</v>
      </c>
    </row>
    <row r="14" customFormat="false" ht="39.75" hidden="false" customHeight="true" outlineLevel="0" collapsed="false">
      <c r="A14" s="17" t="n">
        <v>3</v>
      </c>
      <c r="B14" s="20" t="s">
        <v>122</v>
      </c>
      <c r="C14" s="14" t="s">
        <v>123</v>
      </c>
      <c r="D14" s="19" t="s">
        <v>124</v>
      </c>
    </row>
    <row r="15" customFormat="false" ht="39.75" hidden="false" customHeight="true" outlineLevel="0" collapsed="false">
      <c r="A15" s="17" t="n">
        <v>4</v>
      </c>
      <c r="B15" s="20" t="s">
        <v>125</v>
      </c>
      <c r="C15" s="14" t="s">
        <v>126</v>
      </c>
      <c r="D15" s="19" t="s">
        <v>127</v>
      </c>
    </row>
    <row r="16" customFormat="false" ht="39.75" hidden="false" customHeight="true" outlineLevel="0" collapsed="false">
      <c r="A16" s="17" t="n">
        <v>5</v>
      </c>
      <c r="B16" s="20" t="s">
        <v>128</v>
      </c>
      <c r="C16" s="14" t="s">
        <v>129</v>
      </c>
      <c r="D16" s="19" t="s">
        <v>130</v>
      </c>
    </row>
    <row r="18" customFormat="false" ht="15" hidden="false" customHeight="true" outlineLevel="0" collapsed="false">
      <c r="B18" s="11" t="s">
        <v>131</v>
      </c>
      <c r="C18" s="15"/>
      <c r="D18" s="15"/>
    </row>
    <row r="19" customFormat="false" ht="25.5" hidden="false" customHeight="true" outlineLevel="0" collapsed="false">
      <c r="A19" s="16" t="s">
        <v>95</v>
      </c>
      <c r="B19" s="16" t="s">
        <v>132</v>
      </c>
      <c r="C19" s="16" t="s">
        <v>133</v>
      </c>
      <c r="D19" s="16" t="s">
        <v>134</v>
      </c>
    </row>
    <row r="20" customFormat="false" ht="31.5" hidden="false" customHeight="true" outlineLevel="0" collapsed="false">
      <c r="A20" s="17" t="s">
        <v>135</v>
      </c>
      <c r="B20" s="20" t="s">
        <v>136</v>
      </c>
      <c r="C20" s="14" t="s">
        <v>137</v>
      </c>
      <c r="D20" s="19" t="s">
        <v>138</v>
      </c>
    </row>
    <row r="21" customFormat="false" ht="31.5" hidden="false" customHeight="true" outlineLevel="0" collapsed="false">
      <c r="A21" s="17" t="s">
        <v>139</v>
      </c>
      <c r="B21" s="20" t="s">
        <v>140</v>
      </c>
      <c r="C21" s="14" t="s">
        <v>137</v>
      </c>
      <c r="D21" s="19" t="s">
        <v>141</v>
      </c>
    </row>
    <row r="22" customFormat="false" ht="31.5" hidden="false" customHeight="true" outlineLevel="0" collapsed="false">
      <c r="A22" s="17" t="s">
        <v>142</v>
      </c>
      <c r="B22" s="20" t="s">
        <v>143</v>
      </c>
      <c r="C22" s="14" t="s">
        <v>137</v>
      </c>
      <c r="D22" s="19" t="s">
        <v>144</v>
      </c>
    </row>
    <row r="23" customFormat="false" ht="31.5" hidden="false" customHeight="true" outlineLevel="0" collapsed="false">
      <c r="A23" s="17" t="s">
        <v>145</v>
      </c>
      <c r="B23" s="20" t="s">
        <v>146</v>
      </c>
      <c r="C23" s="14" t="s">
        <v>137</v>
      </c>
      <c r="D23" s="19" t="s">
        <v>147</v>
      </c>
    </row>
    <row r="24" customFormat="false" ht="31.5" hidden="false" customHeight="true" outlineLevel="0" collapsed="false">
      <c r="A24" s="17" t="s">
        <v>148</v>
      </c>
      <c r="B24" s="20" t="s">
        <v>149</v>
      </c>
      <c r="C24" s="14" t="s">
        <v>150</v>
      </c>
      <c r="D24" s="19" t="s">
        <v>151</v>
      </c>
    </row>
    <row r="25" customFormat="false" ht="31.5" hidden="false" customHeight="true" outlineLevel="0" collapsed="false">
      <c r="A25" s="17" t="s">
        <v>152</v>
      </c>
      <c r="B25" s="20" t="s">
        <v>153</v>
      </c>
      <c r="C25" s="14" t="s">
        <v>150</v>
      </c>
      <c r="D25" s="19" t="s">
        <v>154</v>
      </c>
    </row>
    <row r="26" customFormat="false" ht="31.5" hidden="false" customHeight="true" outlineLevel="0" collapsed="false">
      <c r="A26" s="17" t="s">
        <v>155</v>
      </c>
      <c r="B26" s="20" t="s">
        <v>156</v>
      </c>
      <c r="C26" s="14" t="s">
        <v>137</v>
      </c>
      <c r="D26" s="19" t="s">
        <v>157</v>
      </c>
    </row>
    <row r="27" customFormat="false" ht="31.5" hidden="false" customHeight="true" outlineLevel="0" collapsed="false">
      <c r="A27" s="17" t="s">
        <v>158</v>
      </c>
      <c r="B27" s="20" t="s">
        <v>159</v>
      </c>
      <c r="C27" s="14" t="s">
        <v>137</v>
      </c>
      <c r="D27" s="19" t="s">
        <v>160</v>
      </c>
    </row>
    <row r="28" customFormat="false" ht="31.5" hidden="false" customHeight="true" outlineLevel="0" collapsed="false">
      <c r="A28" s="17" t="s">
        <v>161</v>
      </c>
      <c r="B28" s="20" t="s">
        <v>162</v>
      </c>
      <c r="C28" s="14" t="s">
        <v>137</v>
      </c>
      <c r="D28" s="19" t="s">
        <v>163</v>
      </c>
    </row>
    <row r="29" customFormat="false" ht="31.5" hidden="false" customHeight="true" outlineLevel="0" collapsed="false">
      <c r="A29" s="17" t="s">
        <v>164</v>
      </c>
      <c r="B29" s="20" t="s">
        <v>165</v>
      </c>
      <c r="C29" s="14" t="s">
        <v>137</v>
      </c>
      <c r="D29" s="19" t="s">
        <v>166</v>
      </c>
    </row>
    <row r="30" customFormat="false" ht="31.5" hidden="false" customHeight="true" outlineLevel="0" collapsed="false">
      <c r="A30" s="17" t="s">
        <v>167</v>
      </c>
      <c r="B30" s="20" t="s">
        <v>168</v>
      </c>
      <c r="C30" s="14" t="s">
        <v>169</v>
      </c>
      <c r="D30" s="19" t="s">
        <v>170</v>
      </c>
    </row>
    <row r="31" customFormat="false" ht="31.5" hidden="false" customHeight="true" outlineLevel="0" collapsed="false">
      <c r="A31" s="17" t="s">
        <v>171</v>
      </c>
      <c r="B31" s="20" t="s">
        <v>172</v>
      </c>
      <c r="C31" s="14" t="s">
        <v>169</v>
      </c>
      <c r="D31" s="19" t="s">
        <v>173</v>
      </c>
    </row>
    <row r="32" customFormat="false" ht="31.5" hidden="false" customHeight="true" outlineLevel="0" collapsed="false">
      <c r="A32" s="17" t="s">
        <v>174</v>
      </c>
      <c r="B32" s="20" t="s">
        <v>175</v>
      </c>
      <c r="C32" s="14" t="s">
        <v>169</v>
      </c>
      <c r="D32" s="19" t="s">
        <v>176</v>
      </c>
    </row>
    <row r="34" customFormat="false" ht="45.75" hidden="false" customHeight="true" outlineLevel="0" collapsed="false">
      <c r="B34" s="21" t="s">
        <v>177</v>
      </c>
      <c r="C34" s="22" t="s">
        <v>178</v>
      </c>
      <c r="D34" s="22"/>
    </row>
  </sheetData>
  <mergeCells count="1">
    <mergeCell ref="C34:D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0"/>
  </cols>
  <sheetData>
    <row r="1" customFormat="false" ht="17.25" hidden="false" customHeight="true" outlineLevel="0" collapsed="false">
      <c r="A1" s="2" t="s">
        <v>179</v>
      </c>
    </row>
    <row r="2" customFormat="false" ht="15" hidden="false" customHeight="true" outlineLevel="0" collapsed="false">
      <c r="A2" s="3" t="s">
        <v>180</v>
      </c>
    </row>
    <row r="4" customFormat="false" ht="15" hidden="false" customHeight="true" outlineLevel="0" collapsed="false">
      <c r="A4" s="23" t="n">
        <v>1</v>
      </c>
      <c r="B4" s="24" t="s">
        <v>181</v>
      </c>
    </row>
    <row r="5" customFormat="false" ht="15" hidden="false" customHeight="true" outlineLevel="0" collapsed="false">
      <c r="A5" s="23" t="n">
        <v>2</v>
      </c>
      <c r="B5" s="24" t="s">
        <v>182</v>
      </c>
    </row>
    <row r="6" customFormat="false" ht="15" hidden="false" customHeight="true" outlineLevel="0" collapsed="false">
      <c r="A6" s="23" t="n">
        <v>3</v>
      </c>
      <c r="B6" s="24" t="s">
        <v>183</v>
      </c>
    </row>
    <row r="7" customFormat="false" ht="15" hidden="false" customHeight="true" outlineLevel="0" collapsed="false">
      <c r="A7" s="23" t="n">
        <v>4</v>
      </c>
      <c r="B7" s="24"/>
    </row>
    <row r="8" customFormat="false" ht="15" hidden="false" customHeight="true" outlineLevel="0" collapsed="false">
      <c r="A8" s="23" t="n">
        <v>5</v>
      </c>
      <c r="B8" s="24" t="s">
        <v>184</v>
      </c>
    </row>
    <row r="9" customFormat="false" ht="15" hidden="false" customHeight="true" outlineLevel="0" collapsed="false">
      <c r="A9" s="23" t="n">
        <v>6</v>
      </c>
      <c r="B9" s="24" t="s">
        <v>185</v>
      </c>
    </row>
    <row r="10" customFormat="false" ht="15" hidden="false" customHeight="true" outlineLevel="0" collapsed="false">
      <c r="A10" s="23" t="n">
        <v>7</v>
      </c>
      <c r="B10" s="24" t="s">
        <v>186</v>
      </c>
    </row>
    <row r="11" customFormat="false" ht="15" hidden="false" customHeight="true" outlineLevel="0" collapsed="false">
      <c r="A11" s="23" t="n">
        <v>8</v>
      </c>
      <c r="B11" s="24"/>
    </row>
    <row r="12" customFormat="false" ht="15" hidden="false" customHeight="true" outlineLevel="0" collapsed="false">
      <c r="A12" s="23" t="n">
        <v>9</v>
      </c>
      <c r="B12" s="24" t="s">
        <v>187</v>
      </c>
    </row>
    <row r="13" customFormat="false" ht="15" hidden="false" customHeight="true" outlineLevel="0" collapsed="false">
      <c r="A13" s="23" t="n">
        <v>10</v>
      </c>
      <c r="B13" s="24"/>
    </row>
    <row r="14" customFormat="false" ht="15" hidden="false" customHeight="true" outlineLevel="0" collapsed="false">
      <c r="A14" s="23" t="n">
        <v>11</v>
      </c>
      <c r="B14" s="24" t="s">
        <v>188</v>
      </c>
    </row>
    <row r="15" customFormat="false" ht="15" hidden="false" customHeight="true" outlineLevel="0" collapsed="false">
      <c r="A15" s="23" t="n">
        <v>12</v>
      </c>
      <c r="B15" s="24" t="s">
        <v>189</v>
      </c>
    </row>
    <row r="16" customFormat="false" ht="15" hidden="false" customHeight="true" outlineLevel="0" collapsed="false">
      <c r="A16" s="23" t="n">
        <v>13</v>
      </c>
      <c r="B16" s="24" t="s">
        <v>190</v>
      </c>
    </row>
    <row r="17" customFormat="false" ht="15" hidden="false" customHeight="true" outlineLevel="0" collapsed="false">
      <c r="A17" s="23" t="n">
        <v>14</v>
      </c>
      <c r="B17" s="24" t="s">
        <v>182</v>
      </c>
    </row>
    <row r="18" customFormat="false" ht="15" hidden="false" customHeight="true" outlineLevel="0" collapsed="false">
      <c r="A18" s="23" t="n">
        <v>15</v>
      </c>
      <c r="B18" s="24" t="s">
        <v>191</v>
      </c>
    </row>
    <row r="19" customFormat="false" ht="15" hidden="false" customHeight="true" outlineLevel="0" collapsed="false">
      <c r="A19" s="23" t="n">
        <v>16</v>
      </c>
      <c r="B19" s="24" t="s">
        <v>192</v>
      </c>
    </row>
    <row r="20" customFormat="false" ht="15" hidden="false" customHeight="true" outlineLevel="0" collapsed="false">
      <c r="A20" s="23" t="n">
        <v>17</v>
      </c>
      <c r="B20" s="24" t="s">
        <v>193</v>
      </c>
    </row>
    <row r="21" customFormat="false" ht="15" hidden="false" customHeight="true" outlineLevel="0" collapsed="false">
      <c r="A21" s="23" t="n">
        <v>18</v>
      </c>
      <c r="B21" s="24"/>
    </row>
    <row r="22" customFormat="false" ht="15" hidden="false" customHeight="true" outlineLevel="0" collapsed="false">
      <c r="A22" s="23" t="n">
        <v>19</v>
      </c>
      <c r="B22" s="24" t="s">
        <v>194</v>
      </c>
    </row>
    <row r="23" customFormat="false" ht="15" hidden="false" customHeight="true" outlineLevel="0" collapsed="false">
      <c r="A23" s="23" t="n">
        <v>20</v>
      </c>
      <c r="B23" s="24" t="s">
        <v>195</v>
      </c>
    </row>
    <row r="24" customFormat="false" ht="15" hidden="false" customHeight="true" outlineLevel="0" collapsed="false">
      <c r="A24" s="23" t="n">
        <v>21</v>
      </c>
      <c r="B24" s="24" t="s">
        <v>196</v>
      </c>
    </row>
    <row r="25" customFormat="false" ht="15" hidden="false" customHeight="true" outlineLevel="0" collapsed="false">
      <c r="A25" s="23" t="n">
        <v>22</v>
      </c>
      <c r="B25" s="24"/>
    </row>
    <row r="26" customFormat="false" ht="15" hidden="false" customHeight="true" outlineLevel="0" collapsed="false">
      <c r="A26" s="23" t="n">
        <v>23</v>
      </c>
      <c r="B26" s="24"/>
    </row>
    <row r="27" customFormat="false" ht="15" hidden="false" customHeight="true" outlineLevel="0" collapsed="false">
      <c r="A27" s="23" t="n">
        <v>24</v>
      </c>
      <c r="B27" s="24" t="s">
        <v>197</v>
      </c>
    </row>
    <row r="28" customFormat="false" ht="15" hidden="false" customHeight="true" outlineLevel="0" collapsed="false">
      <c r="A28" s="23" t="n">
        <v>25</v>
      </c>
      <c r="B28" s="24" t="s">
        <v>198</v>
      </c>
    </row>
    <row r="29" customFormat="false" ht="15" hidden="false" customHeight="true" outlineLevel="0" collapsed="false">
      <c r="A29" s="23" t="n">
        <v>26</v>
      </c>
      <c r="B29" s="24" t="s">
        <v>199</v>
      </c>
    </row>
    <row r="30" customFormat="false" ht="15" hidden="false" customHeight="true" outlineLevel="0" collapsed="false">
      <c r="A30" s="23" t="n">
        <v>27</v>
      </c>
      <c r="B30" s="24" t="s">
        <v>200</v>
      </c>
    </row>
    <row r="31" customFormat="false" ht="15" hidden="false" customHeight="true" outlineLevel="0" collapsed="false">
      <c r="A31" s="23" t="n">
        <v>28</v>
      </c>
      <c r="B31" s="24" t="s">
        <v>201</v>
      </c>
    </row>
    <row r="32" customFormat="false" ht="15" hidden="false" customHeight="true" outlineLevel="0" collapsed="false">
      <c r="A32" s="23" t="n">
        <v>29</v>
      </c>
      <c r="B32" s="24" t="s">
        <v>202</v>
      </c>
    </row>
    <row r="33" customFormat="false" ht="15" hidden="false" customHeight="true" outlineLevel="0" collapsed="false">
      <c r="A33" s="23" t="n">
        <v>30</v>
      </c>
      <c r="B33" s="24"/>
    </row>
    <row r="34" customFormat="false" ht="15" hidden="false" customHeight="true" outlineLevel="0" collapsed="false">
      <c r="A34" s="23" t="n">
        <v>31</v>
      </c>
      <c r="B34" s="24" t="s">
        <v>203</v>
      </c>
    </row>
    <row r="35" customFormat="false" ht="15" hidden="false" customHeight="true" outlineLevel="0" collapsed="false">
      <c r="A35" s="23" t="n">
        <v>32</v>
      </c>
      <c r="B35" s="24" t="s">
        <v>204</v>
      </c>
    </row>
    <row r="36" customFormat="false" ht="15" hidden="false" customHeight="true" outlineLevel="0" collapsed="false">
      <c r="A36" s="23" t="n">
        <v>33</v>
      </c>
      <c r="B36" s="24" t="s">
        <v>205</v>
      </c>
    </row>
    <row r="37" customFormat="false" ht="15" hidden="false" customHeight="true" outlineLevel="0" collapsed="false">
      <c r="A37" s="23" t="n">
        <v>34</v>
      </c>
      <c r="B37" s="24" t="s">
        <v>206</v>
      </c>
    </row>
    <row r="38" customFormat="false" ht="15" hidden="false" customHeight="true" outlineLevel="0" collapsed="false">
      <c r="A38" s="23" t="n">
        <v>35</v>
      </c>
      <c r="B38" s="24" t="s">
        <v>207</v>
      </c>
    </row>
    <row r="39" customFormat="false" ht="15" hidden="false" customHeight="true" outlineLevel="0" collapsed="false">
      <c r="A39" s="23" t="n">
        <v>36</v>
      </c>
      <c r="B39" s="24" t="s">
        <v>208</v>
      </c>
    </row>
    <row r="40" customFormat="false" ht="15" hidden="false" customHeight="true" outlineLevel="0" collapsed="false">
      <c r="A40" s="23" t="n">
        <v>37</v>
      </c>
      <c r="B40" s="24"/>
    </row>
    <row r="41" customFormat="false" ht="15" hidden="false" customHeight="true" outlineLevel="0" collapsed="false">
      <c r="A41" s="23" t="n">
        <v>38</v>
      </c>
      <c r="B41" s="24" t="s">
        <v>209</v>
      </c>
    </row>
    <row r="42" customFormat="false" ht="15" hidden="false" customHeight="true" outlineLevel="0" collapsed="false">
      <c r="A42" s="23" t="n">
        <v>39</v>
      </c>
      <c r="B42" s="24" t="s">
        <v>204</v>
      </c>
    </row>
    <row r="43" customFormat="false" ht="15" hidden="false" customHeight="true" outlineLevel="0" collapsed="false">
      <c r="A43" s="23" t="n">
        <v>40</v>
      </c>
      <c r="B43" s="24" t="s">
        <v>205</v>
      </c>
    </row>
    <row r="44" customFormat="false" ht="15" hidden="false" customHeight="true" outlineLevel="0" collapsed="false">
      <c r="A44" s="23" t="n">
        <v>41</v>
      </c>
      <c r="B44" s="24" t="s">
        <v>210</v>
      </c>
    </row>
    <row r="45" customFormat="false" ht="15" hidden="false" customHeight="true" outlineLevel="0" collapsed="false">
      <c r="A45" s="23" t="n">
        <v>42</v>
      </c>
      <c r="B45" s="24" t="s">
        <v>211</v>
      </c>
    </row>
    <row r="46" customFormat="false" ht="15" hidden="false" customHeight="true" outlineLevel="0" collapsed="false">
      <c r="A46" s="23" t="n">
        <v>43</v>
      </c>
      <c r="B46" s="24" t="s">
        <v>212</v>
      </c>
    </row>
    <row r="47" customFormat="false" ht="15" hidden="false" customHeight="true" outlineLevel="0" collapsed="false">
      <c r="A47" s="23" t="n">
        <v>44</v>
      </c>
      <c r="B47" s="24"/>
    </row>
    <row r="48" customFormat="false" ht="15" hidden="false" customHeight="true" outlineLevel="0" collapsed="false">
      <c r="A48" s="23" t="n">
        <v>45</v>
      </c>
      <c r="B48" s="24" t="s">
        <v>213</v>
      </c>
    </row>
    <row r="49" customFormat="false" ht="15" hidden="false" customHeight="true" outlineLevel="0" collapsed="false">
      <c r="A49" s="23" t="n">
        <v>46</v>
      </c>
      <c r="B49" s="24"/>
    </row>
    <row r="50" customFormat="false" ht="15" hidden="false" customHeight="true" outlineLevel="0" collapsed="false">
      <c r="A50" s="23" t="n">
        <v>47</v>
      </c>
      <c r="B50" s="24" t="s">
        <v>214</v>
      </c>
    </row>
    <row r="51" customFormat="false" ht="15" hidden="false" customHeight="true" outlineLevel="0" collapsed="false">
      <c r="A51" s="23" t="n">
        <v>48</v>
      </c>
      <c r="B51" s="24" t="s">
        <v>215</v>
      </c>
    </row>
    <row r="52" customFormat="false" ht="15" hidden="false" customHeight="true" outlineLevel="0" collapsed="false">
      <c r="A52" s="23" t="n">
        <v>49</v>
      </c>
      <c r="B52" s="24" t="s">
        <v>216</v>
      </c>
    </row>
    <row r="53" customFormat="false" ht="15" hidden="false" customHeight="true" outlineLevel="0" collapsed="false">
      <c r="A53" s="23" t="n">
        <v>50</v>
      </c>
      <c r="B53" s="24" t="s">
        <v>217</v>
      </c>
    </row>
    <row r="54" customFormat="false" ht="15" hidden="false" customHeight="true" outlineLevel="0" collapsed="false">
      <c r="A54" s="23" t="n">
        <v>51</v>
      </c>
      <c r="B54" s="24" t="s">
        <v>218</v>
      </c>
    </row>
    <row r="55" customFormat="false" ht="15" hidden="false" customHeight="true" outlineLevel="0" collapsed="false">
      <c r="A55" s="23" t="n">
        <v>52</v>
      </c>
      <c r="B55" s="24" t="s">
        <v>219</v>
      </c>
    </row>
    <row r="56" customFormat="false" ht="15" hidden="false" customHeight="true" outlineLevel="0" collapsed="false">
      <c r="A56" s="23" t="n">
        <v>53</v>
      </c>
      <c r="B56" s="24"/>
    </row>
    <row r="57" customFormat="false" ht="15" hidden="false" customHeight="true" outlineLevel="0" collapsed="false">
      <c r="A57" s="23" t="n">
        <v>54</v>
      </c>
      <c r="B57" s="24" t="s">
        <v>220</v>
      </c>
    </row>
    <row r="58" customFormat="false" ht="15" hidden="false" customHeight="true" outlineLevel="0" collapsed="false">
      <c r="A58" s="23" t="n">
        <v>55</v>
      </c>
      <c r="B58" s="24" t="s">
        <v>221</v>
      </c>
    </row>
    <row r="59" customFormat="false" ht="15" hidden="false" customHeight="true" outlineLevel="0" collapsed="false">
      <c r="A59" s="23" t="n">
        <v>56</v>
      </c>
      <c r="B59" s="24" t="s">
        <v>222</v>
      </c>
    </row>
    <row r="60" customFormat="false" ht="15" hidden="false" customHeight="true" outlineLevel="0" collapsed="false">
      <c r="A60" s="23" t="n">
        <v>57</v>
      </c>
      <c r="B60" s="24" t="s">
        <v>223</v>
      </c>
    </row>
    <row r="61" customFormat="false" ht="15" hidden="false" customHeight="true" outlineLevel="0" collapsed="false">
      <c r="A61" s="23" t="n">
        <v>58</v>
      </c>
      <c r="B61" s="24" t="s">
        <v>224</v>
      </c>
    </row>
    <row r="62" customFormat="false" ht="15" hidden="false" customHeight="true" outlineLevel="0" collapsed="false">
      <c r="A62" s="23" t="n">
        <v>59</v>
      </c>
      <c r="B62" s="24" t="s">
        <v>225</v>
      </c>
    </row>
    <row r="63" customFormat="false" ht="15" hidden="false" customHeight="true" outlineLevel="0" collapsed="false">
      <c r="A63" s="23" t="n">
        <v>60</v>
      </c>
      <c r="B63" s="24" t="s">
        <v>226</v>
      </c>
    </row>
    <row r="64" customFormat="false" ht="15" hidden="false" customHeight="true" outlineLevel="0" collapsed="false">
      <c r="A64" s="23" t="n">
        <v>61</v>
      </c>
      <c r="B64" s="24" t="s">
        <v>227</v>
      </c>
    </row>
    <row r="65" customFormat="false" ht="15" hidden="false" customHeight="true" outlineLevel="0" collapsed="false">
      <c r="A65" s="23" t="n">
        <v>62</v>
      </c>
      <c r="B65" s="24" t="s">
        <v>228</v>
      </c>
    </row>
    <row r="66" customFormat="false" ht="15" hidden="false" customHeight="true" outlineLevel="0" collapsed="false">
      <c r="A66" s="23" t="n">
        <v>63</v>
      </c>
      <c r="B66" s="24" t="s">
        <v>229</v>
      </c>
    </row>
    <row r="67" customFormat="false" ht="15" hidden="false" customHeight="true" outlineLevel="0" collapsed="false">
      <c r="A67" s="23" t="n">
        <v>64</v>
      </c>
      <c r="B67" s="24" t="s">
        <v>230</v>
      </c>
    </row>
    <row r="68" customFormat="false" ht="15" hidden="false" customHeight="true" outlineLevel="0" collapsed="false">
      <c r="A68" s="23" t="n">
        <v>65</v>
      </c>
      <c r="B68" s="24" t="s">
        <v>231</v>
      </c>
    </row>
    <row r="69" customFormat="false" ht="15" hidden="false" customHeight="true" outlineLevel="0" collapsed="false">
      <c r="A69" s="23" t="n">
        <v>66</v>
      </c>
      <c r="B69" s="24" t="s">
        <v>232</v>
      </c>
    </row>
    <row r="70" customFormat="false" ht="15" hidden="false" customHeight="true" outlineLevel="0" collapsed="false">
      <c r="A70" s="23" t="n">
        <v>67</v>
      </c>
      <c r="B70" s="24" t="s">
        <v>233</v>
      </c>
    </row>
    <row r="71" customFormat="false" ht="15" hidden="false" customHeight="true" outlineLevel="0" collapsed="false">
      <c r="A71" s="23" t="n">
        <v>68</v>
      </c>
      <c r="B71" s="24" t="s">
        <v>234</v>
      </c>
    </row>
    <row r="72" customFormat="false" ht="15" hidden="false" customHeight="true" outlineLevel="0" collapsed="false">
      <c r="A72" s="23" t="n">
        <v>69</v>
      </c>
      <c r="B72" s="24"/>
    </row>
    <row r="73" customFormat="false" ht="15" hidden="false" customHeight="true" outlineLevel="0" collapsed="false">
      <c r="A73" s="23" t="n">
        <v>70</v>
      </c>
      <c r="B73" s="24" t="s">
        <v>235</v>
      </c>
    </row>
    <row r="74" customFormat="false" ht="15" hidden="false" customHeight="true" outlineLevel="0" collapsed="false">
      <c r="A74" s="23" t="n">
        <v>71</v>
      </c>
      <c r="B74" s="24" t="s">
        <v>236</v>
      </c>
    </row>
    <row r="75" customFormat="false" ht="15" hidden="false" customHeight="true" outlineLevel="0" collapsed="false">
      <c r="A75" s="23" t="n">
        <v>72</v>
      </c>
      <c r="B75" s="24" t="s">
        <v>237</v>
      </c>
    </row>
    <row r="76" customFormat="false" ht="15" hidden="false" customHeight="true" outlineLevel="0" collapsed="false">
      <c r="A76" s="23" t="n">
        <v>73</v>
      </c>
      <c r="B76" s="24" t="s">
        <v>238</v>
      </c>
    </row>
    <row r="77" customFormat="false" ht="15" hidden="false" customHeight="true" outlineLevel="0" collapsed="false">
      <c r="A77" s="23" t="n">
        <v>74</v>
      </c>
      <c r="B77" s="24"/>
    </row>
    <row r="78" customFormat="false" ht="15" hidden="false" customHeight="true" outlineLevel="0" collapsed="false">
      <c r="A78" s="23" t="n">
        <v>75</v>
      </c>
      <c r="B78" s="24" t="s">
        <v>239</v>
      </c>
    </row>
    <row r="79" customFormat="false" ht="15" hidden="false" customHeight="true" outlineLevel="0" collapsed="false">
      <c r="A79" s="23" t="n">
        <v>76</v>
      </c>
      <c r="B79" s="24" t="s">
        <v>240</v>
      </c>
    </row>
    <row r="80" customFormat="false" ht="15" hidden="false" customHeight="true" outlineLevel="0" collapsed="false">
      <c r="A80" s="23" t="n">
        <v>77</v>
      </c>
      <c r="B80" s="24"/>
    </row>
    <row r="81" customFormat="false" ht="15" hidden="false" customHeight="true" outlineLevel="0" collapsed="false">
      <c r="A81" s="23" t="n">
        <v>78</v>
      </c>
      <c r="B81" s="24" t="s">
        <v>241</v>
      </c>
    </row>
    <row r="82" customFormat="false" ht="15" hidden="false" customHeight="true" outlineLevel="0" collapsed="false">
      <c r="A82" s="23" t="n">
        <v>79</v>
      </c>
      <c r="B82" s="24" t="s">
        <v>242</v>
      </c>
    </row>
    <row r="83" customFormat="false" ht="15" hidden="false" customHeight="true" outlineLevel="0" collapsed="false">
      <c r="A83" s="23" t="n">
        <v>80</v>
      </c>
      <c r="B83" s="24" t="s">
        <v>243</v>
      </c>
    </row>
    <row r="84" customFormat="false" ht="15" hidden="false" customHeight="true" outlineLevel="0" collapsed="false">
      <c r="A84" s="23" t="n">
        <v>81</v>
      </c>
      <c r="B84" s="24" t="s">
        <v>244</v>
      </c>
    </row>
    <row r="85" customFormat="false" ht="15" hidden="false" customHeight="true" outlineLevel="0" collapsed="false">
      <c r="A85" s="23" t="n">
        <v>82</v>
      </c>
      <c r="B85" s="24" t="s">
        <v>245</v>
      </c>
    </row>
    <row r="86" customFormat="false" ht="15" hidden="false" customHeight="true" outlineLevel="0" collapsed="false">
      <c r="A86" s="23" t="n">
        <v>83</v>
      </c>
      <c r="B86" s="24" t="s">
        <v>246</v>
      </c>
    </row>
    <row r="87" customFormat="false" ht="15" hidden="false" customHeight="true" outlineLevel="0" collapsed="false">
      <c r="A87" s="23" t="n">
        <v>84</v>
      </c>
      <c r="B87" s="24" t="s">
        <v>247</v>
      </c>
    </row>
    <row r="88" customFormat="false" ht="15" hidden="false" customHeight="true" outlineLevel="0" collapsed="false">
      <c r="A88" s="23" t="n">
        <v>85</v>
      </c>
      <c r="B88" s="24" t="s">
        <v>248</v>
      </c>
    </row>
    <row r="89" customFormat="false" ht="15" hidden="false" customHeight="true" outlineLevel="0" collapsed="false">
      <c r="A89" s="23" t="n">
        <v>86</v>
      </c>
      <c r="B89" s="24" t="s">
        <v>249</v>
      </c>
    </row>
    <row r="90" customFormat="false" ht="15" hidden="false" customHeight="true" outlineLevel="0" collapsed="false">
      <c r="A90" s="23" t="n">
        <v>87</v>
      </c>
      <c r="B90" s="24" t="s">
        <v>250</v>
      </c>
    </row>
    <row r="91" customFormat="false" ht="15" hidden="false" customHeight="true" outlineLevel="0" collapsed="false">
      <c r="A91" s="23" t="n">
        <v>88</v>
      </c>
      <c r="B91" s="24" t="s">
        <v>251</v>
      </c>
    </row>
    <row r="92" customFormat="false" ht="15" hidden="false" customHeight="true" outlineLevel="0" collapsed="false">
      <c r="A92" s="23" t="n">
        <v>89</v>
      </c>
      <c r="B92" s="24" t="s">
        <v>234</v>
      </c>
    </row>
    <row r="93" customFormat="false" ht="15" hidden="false" customHeight="true" outlineLevel="0" collapsed="false">
      <c r="A93" s="23" t="n">
        <v>90</v>
      </c>
      <c r="B93" s="24"/>
    </row>
    <row r="94" customFormat="false" ht="15" hidden="false" customHeight="true" outlineLevel="0" collapsed="false">
      <c r="A94" s="23" t="n">
        <v>91</v>
      </c>
      <c r="B94" s="24" t="s">
        <v>252</v>
      </c>
    </row>
    <row r="95" customFormat="false" ht="15" hidden="false" customHeight="true" outlineLevel="0" collapsed="false">
      <c r="A95" s="23" t="n">
        <v>92</v>
      </c>
      <c r="B95" s="24" t="s">
        <v>253</v>
      </c>
    </row>
    <row r="96" customFormat="false" ht="15" hidden="false" customHeight="true" outlineLevel="0" collapsed="false">
      <c r="A96" s="23" t="n">
        <v>93</v>
      </c>
      <c r="B96" s="24"/>
    </row>
    <row r="97" customFormat="false" ht="15" hidden="false" customHeight="true" outlineLevel="0" collapsed="false">
      <c r="A97" s="23" t="n">
        <v>94</v>
      </c>
      <c r="B97" s="24" t="s">
        <v>254</v>
      </c>
    </row>
    <row r="98" customFormat="false" ht="15" hidden="false" customHeight="true" outlineLevel="0" collapsed="false">
      <c r="A98" s="23" t="n">
        <v>95</v>
      </c>
      <c r="B98" s="24" t="s">
        <v>255</v>
      </c>
    </row>
    <row r="99" customFormat="false" ht="15" hidden="false" customHeight="true" outlineLevel="0" collapsed="false">
      <c r="A99" s="23" t="n">
        <v>96</v>
      </c>
      <c r="B99" s="24" t="s">
        <v>256</v>
      </c>
    </row>
    <row r="100" customFormat="false" ht="15" hidden="false" customHeight="true" outlineLevel="0" collapsed="false">
      <c r="A100" s="23" t="n">
        <v>97</v>
      </c>
      <c r="B100" s="24" t="s">
        <v>257</v>
      </c>
    </row>
    <row r="101" customFormat="false" ht="15" hidden="false" customHeight="true" outlineLevel="0" collapsed="false">
      <c r="A101" s="23" t="n">
        <v>98</v>
      </c>
      <c r="B101" s="24" t="s">
        <v>258</v>
      </c>
    </row>
    <row r="102" customFormat="false" ht="15" hidden="false" customHeight="true" outlineLevel="0" collapsed="false">
      <c r="A102" s="23" t="n">
        <v>99</v>
      </c>
      <c r="B102" s="24" t="s">
        <v>259</v>
      </c>
    </row>
    <row r="103" customFormat="false" ht="15" hidden="false" customHeight="true" outlineLevel="0" collapsed="false">
      <c r="A103" s="23" t="n">
        <v>100</v>
      </c>
      <c r="B103" s="24" t="s">
        <v>260</v>
      </c>
    </row>
    <row r="104" customFormat="false" ht="15" hidden="false" customHeight="true" outlineLevel="0" collapsed="false">
      <c r="A104" s="23" t="n">
        <v>101</v>
      </c>
      <c r="B104" s="24" t="s">
        <v>261</v>
      </c>
    </row>
    <row r="105" customFormat="false" ht="15" hidden="false" customHeight="true" outlineLevel="0" collapsed="false">
      <c r="A105" s="23" t="n">
        <v>102</v>
      </c>
      <c r="B105" s="24" t="s">
        <v>262</v>
      </c>
    </row>
    <row r="106" customFormat="false" ht="15" hidden="false" customHeight="true" outlineLevel="0" collapsed="false">
      <c r="A106" s="23" t="n">
        <v>103</v>
      </c>
      <c r="B106" s="24"/>
    </row>
    <row r="107" customFormat="false" ht="15" hidden="false" customHeight="true" outlineLevel="0" collapsed="false">
      <c r="A107" s="23" t="n">
        <v>104</v>
      </c>
      <c r="B107" s="24"/>
    </row>
    <row r="108" customFormat="false" ht="15" hidden="false" customHeight="true" outlineLevel="0" collapsed="false">
      <c r="A108" s="23" t="n">
        <v>105</v>
      </c>
      <c r="B108" s="24" t="s">
        <v>263</v>
      </c>
    </row>
    <row r="109" customFormat="false" ht="15" hidden="false" customHeight="true" outlineLevel="0" collapsed="false">
      <c r="A109" s="23" t="n">
        <v>106</v>
      </c>
      <c r="B109" s="24" t="s">
        <v>264</v>
      </c>
    </row>
    <row r="110" customFormat="false" ht="15" hidden="false" customHeight="true" outlineLevel="0" collapsed="false">
      <c r="A110" s="23" t="n">
        <v>107</v>
      </c>
      <c r="B110" s="24"/>
    </row>
    <row r="111" customFormat="false" ht="15" hidden="false" customHeight="true" outlineLevel="0" collapsed="false">
      <c r="A111" s="23" t="n">
        <v>108</v>
      </c>
      <c r="B111" s="24"/>
    </row>
    <row r="112" customFormat="false" ht="15" hidden="false" customHeight="true" outlineLevel="0" collapsed="false">
      <c r="A112" s="23" t="n">
        <v>109</v>
      </c>
      <c r="B112" s="24" t="s">
        <v>265</v>
      </c>
    </row>
    <row r="113" customFormat="false" ht="15" hidden="false" customHeight="true" outlineLevel="0" collapsed="false">
      <c r="A113" s="23" t="n">
        <v>110</v>
      </c>
      <c r="B113" s="24" t="s">
        <v>266</v>
      </c>
    </row>
    <row r="114" customFormat="false" ht="15" hidden="false" customHeight="true" outlineLevel="0" collapsed="false">
      <c r="A114" s="23" t="n">
        <v>111</v>
      </c>
      <c r="B114" s="24" t="s">
        <v>267</v>
      </c>
    </row>
    <row r="115" customFormat="false" ht="15" hidden="false" customHeight="true" outlineLevel="0" collapsed="false">
      <c r="A115" s="23" t="n">
        <v>112</v>
      </c>
      <c r="B115" s="24" t="s">
        <v>268</v>
      </c>
    </row>
    <row r="116" customFormat="false" ht="15" hidden="false" customHeight="true" outlineLevel="0" collapsed="false">
      <c r="A116" s="23" t="n">
        <v>113</v>
      </c>
      <c r="B116" s="24"/>
    </row>
    <row r="117" customFormat="false" ht="15" hidden="false" customHeight="true" outlineLevel="0" collapsed="false">
      <c r="A117" s="23" t="n">
        <v>114</v>
      </c>
      <c r="B117" s="24" t="s">
        <v>269</v>
      </c>
    </row>
    <row r="118" customFormat="false" ht="15" hidden="false" customHeight="true" outlineLevel="0" collapsed="false">
      <c r="A118" s="23" t="n">
        <v>115</v>
      </c>
      <c r="B118" s="24" t="s">
        <v>270</v>
      </c>
    </row>
    <row r="119" customFormat="false" ht="15" hidden="false" customHeight="true" outlineLevel="0" collapsed="false">
      <c r="A119" s="23" t="n">
        <v>116</v>
      </c>
      <c r="B119" s="24" t="s">
        <v>271</v>
      </c>
    </row>
    <row r="120" customFormat="false" ht="15" hidden="false" customHeight="true" outlineLevel="0" collapsed="false">
      <c r="A120" s="23" t="n">
        <v>117</v>
      </c>
      <c r="B120" s="24"/>
    </row>
    <row r="121" customFormat="false" ht="15" hidden="false" customHeight="true" outlineLevel="0" collapsed="false">
      <c r="A121" s="23" t="n">
        <v>118</v>
      </c>
      <c r="B121" s="24" t="s">
        <v>272</v>
      </c>
    </row>
    <row r="122" customFormat="false" ht="15" hidden="false" customHeight="true" outlineLevel="0" collapsed="false">
      <c r="A122" s="23" t="n">
        <v>119</v>
      </c>
      <c r="B122" s="24" t="s">
        <v>273</v>
      </c>
    </row>
    <row r="123" customFormat="false" ht="15" hidden="false" customHeight="true" outlineLevel="0" collapsed="false">
      <c r="A123" s="23" t="n">
        <v>120</v>
      </c>
      <c r="B123" s="24" t="s">
        <v>274</v>
      </c>
    </row>
    <row r="124" customFormat="false" ht="15" hidden="false" customHeight="true" outlineLevel="0" collapsed="false">
      <c r="A124" s="23" t="n">
        <v>121</v>
      </c>
      <c r="B124" s="24" t="s">
        <v>275</v>
      </c>
    </row>
    <row r="125" customFormat="false" ht="15" hidden="false" customHeight="true" outlineLevel="0" collapsed="false">
      <c r="A125" s="23" t="n">
        <v>122</v>
      </c>
      <c r="B125" s="24" t="s">
        <v>276</v>
      </c>
    </row>
    <row r="126" customFormat="false" ht="15" hidden="false" customHeight="true" outlineLevel="0" collapsed="false">
      <c r="A126" s="23" t="n">
        <v>123</v>
      </c>
      <c r="B126" s="24"/>
    </row>
    <row r="127" customFormat="false" ht="15" hidden="false" customHeight="true" outlineLevel="0" collapsed="false">
      <c r="A127" s="23" t="n">
        <v>124</v>
      </c>
      <c r="B127" s="24" t="s">
        <v>277</v>
      </c>
    </row>
    <row r="128" customFormat="false" ht="15" hidden="false" customHeight="true" outlineLevel="0" collapsed="false">
      <c r="A128" s="23" t="n">
        <v>125</v>
      </c>
      <c r="B128" s="24" t="s">
        <v>278</v>
      </c>
    </row>
    <row r="129" customFormat="false" ht="15" hidden="false" customHeight="true" outlineLevel="0" collapsed="false">
      <c r="A129" s="23" t="n">
        <v>126</v>
      </c>
      <c r="B129" s="24" t="s">
        <v>279</v>
      </c>
    </row>
    <row r="130" customFormat="false" ht="15" hidden="false" customHeight="true" outlineLevel="0" collapsed="false">
      <c r="A130" s="23" t="n">
        <v>127</v>
      </c>
      <c r="B130" s="24" t="s">
        <v>280</v>
      </c>
    </row>
    <row r="131" customFormat="false" ht="15" hidden="false" customHeight="true" outlineLevel="0" collapsed="false">
      <c r="A131" s="23" t="n">
        <v>128</v>
      </c>
      <c r="B131" s="24" t="s">
        <v>281</v>
      </c>
    </row>
    <row r="132" customFormat="false" ht="15" hidden="false" customHeight="true" outlineLevel="0" collapsed="false">
      <c r="A132" s="23" t="n">
        <v>129</v>
      </c>
      <c r="B132" s="24" t="s">
        <v>282</v>
      </c>
    </row>
    <row r="133" customFormat="false" ht="15" hidden="false" customHeight="true" outlineLevel="0" collapsed="false">
      <c r="A133" s="23" t="n">
        <v>130</v>
      </c>
      <c r="B133" s="24" t="s">
        <v>283</v>
      </c>
    </row>
    <row r="134" customFormat="false" ht="15" hidden="false" customHeight="true" outlineLevel="0" collapsed="false">
      <c r="A134" s="23" t="n">
        <v>131</v>
      </c>
      <c r="B134" s="24" t="s">
        <v>284</v>
      </c>
    </row>
    <row r="135" customFormat="false" ht="15" hidden="false" customHeight="true" outlineLevel="0" collapsed="false">
      <c r="A135" s="23" t="n">
        <v>132</v>
      </c>
      <c r="B135" s="24" t="s">
        <v>285</v>
      </c>
    </row>
    <row r="136" customFormat="false" ht="15" hidden="false" customHeight="true" outlineLevel="0" collapsed="false">
      <c r="A136" s="23" t="n">
        <v>133</v>
      </c>
      <c r="B136" s="24" t="s">
        <v>286</v>
      </c>
    </row>
    <row r="137" customFormat="false" ht="15" hidden="false" customHeight="true" outlineLevel="0" collapsed="false">
      <c r="A137" s="23" t="n">
        <v>134</v>
      </c>
      <c r="B137" s="24" t="s">
        <v>287</v>
      </c>
    </row>
    <row r="138" customFormat="false" ht="15" hidden="false" customHeight="true" outlineLevel="0" collapsed="false">
      <c r="A138" s="23" t="n">
        <v>135</v>
      </c>
      <c r="B138" s="24" t="s">
        <v>288</v>
      </c>
    </row>
    <row r="139" customFormat="false" ht="15" hidden="false" customHeight="true" outlineLevel="0" collapsed="false">
      <c r="A139" s="23" t="n">
        <v>136</v>
      </c>
      <c r="B139" s="24" t="s">
        <v>289</v>
      </c>
    </row>
    <row r="140" customFormat="false" ht="15" hidden="false" customHeight="true" outlineLevel="0" collapsed="false">
      <c r="A140" s="23" t="n">
        <v>137</v>
      </c>
      <c r="B140" s="24" t="s">
        <v>290</v>
      </c>
    </row>
    <row r="141" customFormat="false" ht="15" hidden="false" customHeight="true" outlineLevel="0" collapsed="false">
      <c r="A141" s="23" t="n">
        <v>138</v>
      </c>
      <c r="B141" s="24" t="s">
        <v>291</v>
      </c>
    </row>
    <row r="142" customFormat="false" ht="15" hidden="false" customHeight="true" outlineLevel="0" collapsed="false">
      <c r="A142" s="23" t="n">
        <v>139</v>
      </c>
      <c r="B142" s="24" t="s">
        <v>292</v>
      </c>
    </row>
    <row r="143" customFormat="false" ht="15" hidden="false" customHeight="true" outlineLevel="0" collapsed="false">
      <c r="A143" s="23" t="n">
        <v>140</v>
      </c>
      <c r="B143" s="24" t="s">
        <v>293</v>
      </c>
    </row>
    <row r="144" customFormat="false" ht="15" hidden="false" customHeight="true" outlineLevel="0" collapsed="false">
      <c r="A144" s="23" t="n">
        <v>141</v>
      </c>
      <c r="B144" s="24"/>
    </row>
    <row r="145" customFormat="false" ht="15" hidden="false" customHeight="true" outlineLevel="0" collapsed="false">
      <c r="A145" s="23" t="n">
        <v>142</v>
      </c>
      <c r="B145" s="24" t="s">
        <v>294</v>
      </c>
    </row>
    <row r="146" customFormat="false" ht="15" hidden="false" customHeight="true" outlineLevel="0" collapsed="false">
      <c r="A146" s="23" t="n">
        <v>143</v>
      </c>
      <c r="B146" s="24" t="s">
        <v>295</v>
      </c>
    </row>
    <row r="147" customFormat="false" ht="15" hidden="false" customHeight="true" outlineLevel="0" collapsed="false">
      <c r="A147" s="23" t="n">
        <v>144</v>
      </c>
      <c r="B147" s="24" t="s">
        <v>296</v>
      </c>
    </row>
    <row r="148" customFormat="false" ht="15" hidden="false" customHeight="true" outlineLevel="0" collapsed="false">
      <c r="A148" s="23" t="n">
        <v>145</v>
      </c>
      <c r="B148" s="24" t="s">
        <v>297</v>
      </c>
    </row>
    <row r="149" customFormat="false" ht="15" hidden="false" customHeight="true" outlineLevel="0" collapsed="false">
      <c r="A149" s="23" t="n">
        <v>146</v>
      </c>
      <c r="B149" s="24" t="s">
        <v>298</v>
      </c>
    </row>
    <row r="150" customFormat="false" ht="15" hidden="false" customHeight="true" outlineLevel="0" collapsed="false">
      <c r="A150" s="23" t="n">
        <v>147</v>
      </c>
      <c r="B150" s="24"/>
    </row>
    <row r="151" customFormat="false" ht="15" hidden="false" customHeight="true" outlineLevel="0" collapsed="false">
      <c r="A151" s="23" t="n">
        <v>148</v>
      </c>
      <c r="B151" s="24" t="s">
        <v>299</v>
      </c>
    </row>
    <row r="152" customFormat="false" ht="15" hidden="false" customHeight="true" outlineLevel="0" collapsed="false">
      <c r="A152" s="23" t="n">
        <v>149</v>
      </c>
      <c r="B152" s="24" t="s">
        <v>300</v>
      </c>
    </row>
    <row r="153" customFormat="false" ht="15" hidden="false" customHeight="true" outlineLevel="0" collapsed="false">
      <c r="A153" s="23" t="n">
        <v>150</v>
      </c>
      <c r="B153" s="24" t="s">
        <v>301</v>
      </c>
    </row>
    <row r="154" customFormat="false" ht="15" hidden="false" customHeight="true" outlineLevel="0" collapsed="false">
      <c r="A154" s="23" t="n">
        <v>151</v>
      </c>
      <c r="B154" s="24" t="s">
        <v>302</v>
      </c>
    </row>
    <row r="155" customFormat="false" ht="15" hidden="false" customHeight="true" outlineLevel="0" collapsed="false">
      <c r="A155" s="23" t="n">
        <v>152</v>
      </c>
      <c r="B155" s="24" t="s">
        <v>303</v>
      </c>
    </row>
    <row r="156" customFormat="false" ht="15" hidden="false" customHeight="true" outlineLevel="0" collapsed="false">
      <c r="A156" s="23" t="n">
        <v>153</v>
      </c>
      <c r="B156" s="24" t="s">
        <v>304</v>
      </c>
    </row>
    <row r="157" customFormat="false" ht="15" hidden="false" customHeight="true" outlineLevel="0" collapsed="false">
      <c r="A157" s="23" t="n">
        <v>154</v>
      </c>
      <c r="B157" s="24" t="s">
        <v>305</v>
      </c>
    </row>
    <row r="158" customFormat="false" ht="15" hidden="false" customHeight="true" outlineLevel="0" collapsed="false">
      <c r="A158" s="23" t="n">
        <v>155</v>
      </c>
      <c r="B158" s="24" t="s">
        <v>306</v>
      </c>
    </row>
    <row r="159" customFormat="false" ht="15" hidden="false" customHeight="true" outlineLevel="0" collapsed="false">
      <c r="A159" s="23" t="n">
        <v>156</v>
      </c>
      <c r="B159" s="24" t="s">
        <v>307</v>
      </c>
    </row>
    <row r="160" customFormat="false" ht="15" hidden="false" customHeight="true" outlineLevel="0" collapsed="false">
      <c r="A160" s="23" t="n">
        <v>157</v>
      </c>
      <c r="B160" s="24" t="s">
        <v>308</v>
      </c>
    </row>
    <row r="161" customFormat="false" ht="15" hidden="false" customHeight="true" outlineLevel="0" collapsed="false">
      <c r="A161" s="23" t="n">
        <v>158</v>
      </c>
      <c r="B161" s="24" t="s">
        <v>309</v>
      </c>
    </row>
    <row r="162" customFormat="false" ht="15" hidden="false" customHeight="true" outlineLevel="0" collapsed="false">
      <c r="A162" s="23" t="n">
        <v>159</v>
      </c>
      <c r="B162" s="24" t="s">
        <v>310</v>
      </c>
    </row>
    <row r="163" customFormat="false" ht="15" hidden="false" customHeight="true" outlineLevel="0" collapsed="false">
      <c r="A163" s="23" t="n">
        <v>160</v>
      </c>
      <c r="B163" s="24" t="s">
        <v>311</v>
      </c>
    </row>
    <row r="164" customFormat="false" ht="15" hidden="false" customHeight="true" outlineLevel="0" collapsed="false">
      <c r="A164" s="23" t="n">
        <v>161</v>
      </c>
      <c r="B164" s="24" t="s">
        <v>312</v>
      </c>
    </row>
    <row r="165" customFormat="false" ht="15" hidden="false" customHeight="true" outlineLevel="0" collapsed="false">
      <c r="A165" s="23" t="n">
        <v>162</v>
      </c>
      <c r="B165" s="24" t="s">
        <v>313</v>
      </c>
    </row>
    <row r="166" customFormat="false" ht="15" hidden="false" customHeight="true" outlineLevel="0" collapsed="false">
      <c r="A166" s="23" t="n">
        <v>163</v>
      </c>
      <c r="B166" s="24" t="s">
        <v>314</v>
      </c>
    </row>
    <row r="167" customFormat="false" ht="15" hidden="false" customHeight="true" outlineLevel="0" collapsed="false">
      <c r="A167" s="23" t="n">
        <v>164</v>
      </c>
      <c r="B167" s="24" t="s">
        <v>315</v>
      </c>
    </row>
    <row r="168" customFormat="false" ht="15" hidden="false" customHeight="true" outlineLevel="0" collapsed="false">
      <c r="A168" s="23" t="n">
        <v>165</v>
      </c>
      <c r="B168" s="24" t="s">
        <v>316</v>
      </c>
    </row>
    <row r="169" customFormat="false" ht="15" hidden="false" customHeight="true" outlineLevel="0" collapsed="false">
      <c r="A169" s="23" t="n">
        <v>166</v>
      </c>
      <c r="B169" s="24" t="s">
        <v>317</v>
      </c>
    </row>
    <row r="170" customFormat="false" ht="15" hidden="false" customHeight="true" outlineLevel="0" collapsed="false">
      <c r="A170" s="23" t="n">
        <v>167</v>
      </c>
      <c r="B170" s="24" t="s">
        <v>318</v>
      </c>
    </row>
    <row r="171" customFormat="false" ht="15" hidden="false" customHeight="true" outlineLevel="0" collapsed="false">
      <c r="A171" s="23" t="n">
        <v>168</v>
      </c>
      <c r="B171" s="24" t="s">
        <v>319</v>
      </c>
    </row>
    <row r="172" customFormat="false" ht="15" hidden="false" customHeight="true" outlineLevel="0" collapsed="false">
      <c r="A172" s="23" t="n">
        <v>169</v>
      </c>
      <c r="B172" s="24" t="s">
        <v>320</v>
      </c>
    </row>
    <row r="173" customFormat="false" ht="15" hidden="false" customHeight="true" outlineLevel="0" collapsed="false">
      <c r="A173" s="23" t="n">
        <v>170</v>
      </c>
      <c r="B173" s="24" t="s">
        <v>321</v>
      </c>
    </row>
    <row r="174" customFormat="false" ht="15" hidden="false" customHeight="true" outlineLevel="0" collapsed="false">
      <c r="A174" s="23" t="n">
        <v>171</v>
      </c>
      <c r="B174" s="24"/>
    </row>
    <row r="175" customFormat="false" ht="15" hidden="false" customHeight="true" outlineLevel="0" collapsed="false">
      <c r="A175" s="23" t="n">
        <v>172</v>
      </c>
      <c r="B175" s="24" t="s">
        <v>322</v>
      </c>
    </row>
    <row r="176" customFormat="false" ht="15" hidden="false" customHeight="true" outlineLevel="0" collapsed="false">
      <c r="A176" s="23" t="n">
        <v>173</v>
      </c>
      <c r="B176" s="24" t="s">
        <v>323</v>
      </c>
    </row>
    <row r="177" customFormat="false" ht="15" hidden="false" customHeight="true" outlineLevel="0" collapsed="false">
      <c r="A177" s="23" t="n">
        <v>174</v>
      </c>
      <c r="B177" s="24" t="s">
        <v>324</v>
      </c>
    </row>
    <row r="178" customFormat="false" ht="15" hidden="false" customHeight="true" outlineLevel="0" collapsed="false">
      <c r="A178" s="23" t="n">
        <v>175</v>
      </c>
      <c r="B178" s="24" t="s">
        <v>325</v>
      </c>
    </row>
    <row r="179" customFormat="false" ht="15" hidden="false" customHeight="true" outlineLevel="0" collapsed="false">
      <c r="A179" s="23" t="n">
        <v>176</v>
      </c>
      <c r="B179" s="24" t="s">
        <v>326</v>
      </c>
    </row>
    <row r="180" customFormat="false" ht="15" hidden="false" customHeight="true" outlineLevel="0" collapsed="false">
      <c r="A180" s="23" t="n">
        <v>177</v>
      </c>
      <c r="B180" s="24" t="s">
        <v>327</v>
      </c>
    </row>
    <row r="181" customFormat="false" ht="15" hidden="false" customHeight="true" outlineLevel="0" collapsed="false">
      <c r="A181" s="23" t="n">
        <v>178</v>
      </c>
      <c r="B181" s="24" t="s">
        <v>328</v>
      </c>
    </row>
    <row r="182" customFormat="false" ht="15" hidden="false" customHeight="true" outlineLevel="0" collapsed="false">
      <c r="A182" s="23" t="n">
        <v>179</v>
      </c>
      <c r="B182" s="24" t="s">
        <v>325</v>
      </c>
    </row>
    <row r="183" customFormat="false" ht="15" hidden="false" customHeight="true" outlineLevel="0" collapsed="false">
      <c r="A183" s="23" t="n">
        <v>180</v>
      </c>
      <c r="B183" s="24" t="s">
        <v>329</v>
      </c>
    </row>
    <row r="184" customFormat="false" ht="15" hidden="false" customHeight="true" outlineLevel="0" collapsed="false">
      <c r="A184" s="23" t="n">
        <v>181</v>
      </c>
      <c r="B184" s="24" t="s">
        <v>330</v>
      </c>
    </row>
    <row r="185" customFormat="false" ht="15" hidden="false" customHeight="true" outlineLevel="0" collapsed="false">
      <c r="A185" s="23" t="n">
        <v>182</v>
      </c>
      <c r="B185" s="24" t="s">
        <v>325</v>
      </c>
    </row>
    <row r="186" customFormat="false" ht="15" hidden="false" customHeight="true" outlineLevel="0" collapsed="false">
      <c r="A186" s="23" t="n">
        <v>183</v>
      </c>
      <c r="B186" s="24" t="s">
        <v>331</v>
      </c>
    </row>
    <row r="187" customFormat="false" ht="15" hidden="false" customHeight="true" outlineLevel="0" collapsed="false">
      <c r="A187" s="23" t="n">
        <v>184</v>
      </c>
      <c r="B187" s="24" t="s">
        <v>332</v>
      </c>
    </row>
    <row r="188" customFormat="false" ht="15" hidden="false" customHeight="true" outlineLevel="0" collapsed="false">
      <c r="A188" s="23" t="n">
        <v>185</v>
      </c>
      <c r="B188" s="24"/>
    </row>
    <row r="189" customFormat="false" ht="15" hidden="false" customHeight="true" outlineLevel="0" collapsed="false">
      <c r="A189" s="23" t="n">
        <v>186</v>
      </c>
      <c r="B189" s="24" t="s">
        <v>333</v>
      </c>
    </row>
    <row r="190" customFormat="false" ht="15" hidden="false" customHeight="true" outlineLevel="0" collapsed="false">
      <c r="A190" s="23" t="n">
        <v>187</v>
      </c>
      <c r="B190" s="24" t="s">
        <v>334</v>
      </c>
    </row>
    <row r="191" customFormat="false" ht="15" hidden="false" customHeight="true" outlineLevel="0" collapsed="false">
      <c r="A191" s="23" t="n">
        <v>188</v>
      </c>
      <c r="B191" s="24" t="s">
        <v>335</v>
      </c>
    </row>
    <row r="192" customFormat="false" ht="15" hidden="false" customHeight="true" outlineLevel="0" collapsed="false">
      <c r="A192" s="23" t="n">
        <v>189</v>
      </c>
      <c r="B192" s="24"/>
    </row>
    <row r="193" customFormat="false" ht="15" hidden="false" customHeight="true" outlineLevel="0" collapsed="false">
      <c r="A193" s="23" t="n">
        <v>190</v>
      </c>
      <c r="B193" s="24" t="s">
        <v>336</v>
      </c>
    </row>
    <row r="194" customFormat="false" ht="15" hidden="false" customHeight="true" outlineLevel="0" collapsed="false">
      <c r="A194" s="23" t="n">
        <v>191</v>
      </c>
      <c r="B194" s="24" t="s">
        <v>337</v>
      </c>
    </row>
    <row r="195" customFormat="false" ht="15" hidden="false" customHeight="true" outlineLevel="0" collapsed="false">
      <c r="A195" s="23" t="n">
        <v>192</v>
      </c>
      <c r="B195" s="24" t="s">
        <v>338</v>
      </c>
    </row>
    <row r="196" customFormat="false" ht="15" hidden="false" customHeight="true" outlineLevel="0" collapsed="false">
      <c r="A196" s="23" t="n">
        <v>193</v>
      </c>
      <c r="B196" s="24" t="s">
        <v>339</v>
      </c>
    </row>
    <row r="197" customFormat="false" ht="15" hidden="false" customHeight="true" outlineLevel="0" collapsed="false">
      <c r="A197" s="23" t="n">
        <v>194</v>
      </c>
      <c r="B197" s="24" t="s">
        <v>340</v>
      </c>
    </row>
    <row r="198" customFormat="false" ht="15" hidden="false" customHeight="true" outlineLevel="0" collapsed="false">
      <c r="A198" s="23" t="n">
        <v>195</v>
      </c>
      <c r="B198" s="24" t="s">
        <v>341</v>
      </c>
    </row>
    <row r="199" customFormat="false" ht="15" hidden="false" customHeight="true" outlineLevel="0" collapsed="false">
      <c r="A199" s="23" t="n">
        <v>196</v>
      </c>
      <c r="B199" s="24" t="s">
        <v>342</v>
      </c>
    </row>
    <row r="200" customFormat="false" ht="15" hidden="false" customHeight="true" outlineLevel="0" collapsed="false">
      <c r="A200" s="23" t="n">
        <v>197</v>
      </c>
      <c r="B200" s="24" t="s">
        <v>343</v>
      </c>
    </row>
    <row r="201" customFormat="false" ht="15" hidden="false" customHeight="true" outlineLevel="0" collapsed="false">
      <c r="A201" s="23" t="n">
        <v>198</v>
      </c>
      <c r="B201" s="24" t="s">
        <v>344</v>
      </c>
    </row>
    <row r="202" customFormat="false" ht="15" hidden="false" customHeight="true" outlineLevel="0" collapsed="false">
      <c r="A202" s="23" t="n">
        <v>199</v>
      </c>
      <c r="B202" s="24" t="s">
        <v>345</v>
      </c>
    </row>
    <row r="203" customFormat="false" ht="15" hidden="false" customHeight="true" outlineLevel="0" collapsed="false">
      <c r="A203" s="23" t="n">
        <v>200</v>
      </c>
      <c r="B203" s="24" t="s">
        <v>346</v>
      </c>
    </row>
    <row r="204" customFormat="false" ht="15" hidden="false" customHeight="true" outlineLevel="0" collapsed="false">
      <c r="A204" s="23" t="n">
        <v>201</v>
      </c>
      <c r="B204" s="24" t="s">
        <v>347</v>
      </c>
    </row>
    <row r="205" customFormat="false" ht="15" hidden="false" customHeight="true" outlineLevel="0" collapsed="false">
      <c r="A205" s="23" t="n">
        <v>202</v>
      </c>
      <c r="B205" s="24" t="s">
        <v>348</v>
      </c>
    </row>
    <row r="206" customFormat="false" ht="15" hidden="false" customHeight="true" outlineLevel="0" collapsed="false">
      <c r="A206" s="23" t="n">
        <v>203</v>
      </c>
      <c r="B206" s="24" t="s">
        <v>349</v>
      </c>
    </row>
    <row r="207" customFormat="false" ht="15" hidden="false" customHeight="true" outlineLevel="0" collapsed="false">
      <c r="A207" s="23" t="n">
        <v>204</v>
      </c>
      <c r="B207" s="24" t="s">
        <v>350</v>
      </c>
    </row>
    <row r="208" customFormat="false" ht="15" hidden="false" customHeight="true" outlineLevel="0" collapsed="false">
      <c r="A208" s="23" t="n">
        <v>205</v>
      </c>
      <c r="B208" s="24" t="s">
        <v>351</v>
      </c>
    </row>
    <row r="209" customFormat="false" ht="15" hidden="false" customHeight="true" outlineLevel="0" collapsed="false">
      <c r="A209" s="23" t="n">
        <v>206</v>
      </c>
      <c r="B209" s="24" t="s">
        <v>352</v>
      </c>
    </row>
    <row r="210" customFormat="false" ht="15" hidden="false" customHeight="true" outlineLevel="0" collapsed="false">
      <c r="A210" s="23" t="n">
        <v>207</v>
      </c>
      <c r="B210" s="24" t="s">
        <v>353</v>
      </c>
    </row>
    <row r="211" customFormat="false" ht="15" hidden="false" customHeight="true" outlineLevel="0" collapsed="false">
      <c r="A211" s="23" t="n">
        <v>208</v>
      </c>
      <c r="B211" s="24" t="s">
        <v>354</v>
      </c>
    </row>
    <row r="212" customFormat="false" ht="15" hidden="false" customHeight="true" outlineLevel="0" collapsed="false">
      <c r="A212" s="23" t="n">
        <v>209</v>
      </c>
      <c r="B212" s="24" t="s">
        <v>355</v>
      </c>
    </row>
    <row r="213" customFormat="false" ht="15" hidden="false" customHeight="true" outlineLevel="0" collapsed="false">
      <c r="A213" s="23" t="n">
        <v>210</v>
      </c>
      <c r="B213" s="24" t="s">
        <v>356</v>
      </c>
    </row>
    <row r="214" customFormat="false" ht="15" hidden="false" customHeight="true" outlineLevel="0" collapsed="false">
      <c r="A214" s="23" t="n">
        <v>211</v>
      </c>
      <c r="B214" s="24" t="s">
        <v>357</v>
      </c>
    </row>
    <row r="215" customFormat="false" ht="15" hidden="false" customHeight="true" outlineLevel="0" collapsed="false">
      <c r="A215" s="23" t="n">
        <v>212</v>
      </c>
      <c r="B215" s="24" t="s">
        <v>358</v>
      </c>
    </row>
    <row r="216" customFormat="false" ht="15" hidden="false" customHeight="true" outlineLevel="0" collapsed="false">
      <c r="A216" s="23" t="n">
        <v>213</v>
      </c>
      <c r="B216" s="24" t="s">
        <v>359</v>
      </c>
    </row>
    <row r="217" customFormat="false" ht="15" hidden="false" customHeight="true" outlineLevel="0" collapsed="false">
      <c r="A217" s="23" t="n">
        <v>214</v>
      </c>
      <c r="B217" s="24" t="s">
        <v>360</v>
      </c>
    </row>
    <row r="218" customFormat="false" ht="15" hidden="false" customHeight="true" outlineLevel="0" collapsed="false">
      <c r="A218" s="23" t="n">
        <v>215</v>
      </c>
      <c r="B218" s="24" t="s">
        <v>361</v>
      </c>
    </row>
    <row r="219" customFormat="false" ht="15" hidden="false" customHeight="true" outlineLevel="0" collapsed="false">
      <c r="A219" s="23" t="n">
        <v>216</v>
      </c>
      <c r="B219" s="24" t="s">
        <v>362</v>
      </c>
    </row>
    <row r="220" customFormat="false" ht="15" hidden="false" customHeight="true" outlineLevel="0" collapsed="false">
      <c r="A220" s="23" t="n">
        <v>217</v>
      </c>
      <c r="B220" s="24" t="s">
        <v>363</v>
      </c>
    </row>
    <row r="221" customFormat="false" ht="15" hidden="false" customHeight="true" outlineLevel="0" collapsed="false">
      <c r="A221" s="23" t="n">
        <v>218</v>
      </c>
      <c r="B221" s="24" t="s">
        <v>364</v>
      </c>
    </row>
    <row r="222" customFormat="false" ht="15" hidden="false" customHeight="true" outlineLevel="0" collapsed="false">
      <c r="A222" s="23" t="n">
        <v>219</v>
      </c>
      <c r="B222" s="24" t="s">
        <v>365</v>
      </c>
    </row>
    <row r="223" customFormat="false" ht="15" hidden="false" customHeight="true" outlineLevel="0" collapsed="false">
      <c r="A223" s="23" t="n">
        <v>220</v>
      </c>
      <c r="B223" s="24" t="s">
        <v>366</v>
      </c>
    </row>
    <row r="224" customFormat="false" ht="15" hidden="false" customHeight="true" outlineLevel="0" collapsed="false">
      <c r="A224" s="23" t="n">
        <v>221</v>
      </c>
      <c r="B224" s="24" t="s">
        <v>367</v>
      </c>
    </row>
    <row r="225" customFormat="false" ht="15" hidden="false" customHeight="true" outlineLevel="0" collapsed="false">
      <c r="A225" s="23" t="n">
        <v>222</v>
      </c>
      <c r="B225" s="24" t="s">
        <v>368</v>
      </c>
    </row>
    <row r="226" customFormat="false" ht="15" hidden="false" customHeight="true" outlineLevel="0" collapsed="false">
      <c r="A226" s="23" t="n">
        <v>223</v>
      </c>
      <c r="B226" s="24" t="s">
        <v>369</v>
      </c>
    </row>
    <row r="227" customFormat="false" ht="15" hidden="false" customHeight="true" outlineLevel="0" collapsed="false">
      <c r="A227" s="23" t="n">
        <v>224</v>
      </c>
      <c r="B227" s="24" t="s">
        <v>370</v>
      </c>
    </row>
    <row r="228" customFormat="false" ht="15" hidden="false" customHeight="true" outlineLevel="0" collapsed="false">
      <c r="A228" s="23" t="n">
        <v>225</v>
      </c>
      <c r="B228" s="24" t="s">
        <v>371</v>
      </c>
    </row>
    <row r="229" customFormat="false" ht="15" hidden="false" customHeight="true" outlineLevel="0" collapsed="false">
      <c r="A229" s="23" t="n">
        <v>226</v>
      </c>
      <c r="B229" s="24" t="s">
        <v>372</v>
      </c>
    </row>
    <row r="230" customFormat="false" ht="15" hidden="false" customHeight="true" outlineLevel="0" collapsed="false">
      <c r="A230" s="23" t="n">
        <v>227</v>
      </c>
      <c r="B230" s="24" t="s">
        <v>373</v>
      </c>
    </row>
    <row r="231" customFormat="false" ht="15" hidden="false" customHeight="true" outlineLevel="0" collapsed="false">
      <c r="A231" s="23" t="n">
        <v>228</v>
      </c>
      <c r="B231" s="24" t="s">
        <v>374</v>
      </c>
    </row>
    <row r="232" customFormat="false" ht="15" hidden="false" customHeight="true" outlineLevel="0" collapsed="false">
      <c r="A232" s="23" t="n">
        <v>229</v>
      </c>
      <c r="B232" s="24" t="s">
        <v>375</v>
      </c>
    </row>
    <row r="233" customFormat="false" ht="15" hidden="false" customHeight="true" outlineLevel="0" collapsed="false">
      <c r="A233" s="23" t="n">
        <v>230</v>
      </c>
      <c r="B233" s="24" t="s">
        <v>376</v>
      </c>
    </row>
    <row r="234" customFormat="false" ht="15" hidden="false" customHeight="true" outlineLevel="0" collapsed="false">
      <c r="A234" s="23" t="n">
        <v>231</v>
      </c>
      <c r="B234" s="24" t="s">
        <v>377</v>
      </c>
    </row>
    <row r="235" customFormat="false" ht="15" hidden="false" customHeight="true" outlineLevel="0" collapsed="false">
      <c r="A235" s="23" t="n">
        <v>232</v>
      </c>
      <c r="B235" s="24" t="s">
        <v>378</v>
      </c>
    </row>
    <row r="236" customFormat="false" ht="15" hidden="false" customHeight="true" outlineLevel="0" collapsed="false">
      <c r="A236" s="23" t="n">
        <v>233</v>
      </c>
      <c r="B236" s="24" t="s">
        <v>379</v>
      </c>
    </row>
    <row r="237" customFormat="false" ht="15" hidden="false" customHeight="true" outlineLevel="0" collapsed="false">
      <c r="A237" s="23" t="n">
        <v>234</v>
      </c>
      <c r="B237" s="24" t="s">
        <v>380</v>
      </c>
    </row>
    <row r="238" customFormat="false" ht="15" hidden="false" customHeight="true" outlineLevel="0" collapsed="false">
      <c r="A238" s="23" t="n">
        <v>235</v>
      </c>
      <c r="B238" s="24" t="s">
        <v>381</v>
      </c>
    </row>
    <row r="239" customFormat="false" ht="15" hidden="false" customHeight="true" outlineLevel="0" collapsed="false">
      <c r="A239" s="23" t="n">
        <v>236</v>
      </c>
      <c r="B239" s="24"/>
    </row>
    <row r="240" customFormat="false" ht="15" hidden="false" customHeight="true" outlineLevel="0" collapsed="false">
      <c r="A240" s="23" t="n">
        <v>237</v>
      </c>
      <c r="B240" s="24" t="s">
        <v>382</v>
      </c>
    </row>
    <row r="241" customFormat="false" ht="15" hidden="false" customHeight="true" outlineLevel="0" collapsed="false">
      <c r="A241" s="23" t="n">
        <v>238</v>
      </c>
      <c r="B241" s="24" t="s">
        <v>383</v>
      </c>
    </row>
    <row r="242" customFormat="false" ht="15" hidden="false" customHeight="true" outlineLevel="0" collapsed="false">
      <c r="A242" s="23" t="n">
        <v>239</v>
      </c>
      <c r="B242" s="24" t="s">
        <v>384</v>
      </c>
    </row>
    <row r="243" customFormat="false" ht="15" hidden="false" customHeight="true" outlineLevel="0" collapsed="false">
      <c r="A243" s="23" t="n">
        <v>240</v>
      </c>
      <c r="B243" s="24" t="s">
        <v>385</v>
      </c>
    </row>
    <row r="244" customFormat="false" ht="15" hidden="false" customHeight="true" outlineLevel="0" collapsed="false">
      <c r="A244" s="23" t="n">
        <v>241</v>
      </c>
      <c r="B244" s="24" t="s">
        <v>386</v>
      </c>
    </row>
    <row r="245" customFormat="false" ht="15" hidden="false" customHeight="true" outlineLevel="0" collapsed="false">
      <c r="A245" s="23" t="n">
        <v>242</v>
      </c>
      <c r="B245" s="24" t="s">
        <v>387</v>
      </c>
    </row>
    <row r="246" customFormat="false" ht="15" hidden="false" customHeight="true" outlineLevel="0" collapsed="false">
      <c r="A246" s="23" t="n">
        <v>243</v>
      </c>
      <c r="B246" s="24"/>
    </row>
    <row r="247" customFormat="false" ht="15" hidden="false" customHeight="true" outlineLevel="0" collapsed="false">
      <c r="A247" s="23" t="n">
        <v>244</v>
      </c>
      <c r="B247" s="24" t="s">
        <v>388</v>
      </c>
    </row>
    <row r="248" customFormat="false" ht="15" hidden="false" customHeight="true" outlineLevel="0" collapsed="false">
      <c r="A248" s="23" t="n">
        <v>245</v>
      </c>
      <c r="B248" s="24" t="s">
        <v>389</v>
      </c>
    </row>
    <row r="249" customFormat="false" ht="15" hidden="false" customHeight="true" outlineLevel="0" collapsed="false">
      <c r="A249" s="23" t="n">
        <v>246</v>
      </c>
      <c r="B249" s="24" t="s">
        <v>390</v>
      </c>
    </row>
    <row r="250" customFormat="false" ht="15" hidden="false" customHeight="true" outlineLevel="0" collapsed="false">
      <c r="A250" s="23" t="n">
        <v>247</v>
      </c>
      <c r="B250" s="24" t="s">
        <v>391</v>
      </c>
    </row>
    <row r="251" customFormat="false" ht="15" hidden="false" customHeight="true" outlineLevel="0" collapsed="false">
      <c r="A251" s="23" t="n">
        <v>248</v>
      </c>
      <c r="B251" s="24" t="s">
        <v>392</v>
      </c>
    </row>
    <row r="252" customFormat="false" ht="15" hidden="false" customHeight="true" outlineLevel="0" collapsed="false">
      <c r="A252" s="23" t="n">
        <v>249</v>
      </c>
      <c r="B252" s="24" t="s">
        <v>393</v>
      </c>
    </row>
    <row r="253" customFormat="false" ht="15" hidden="false" customHeight="true" outlineLevel="0" collapsed="false">
      <c r="A253" s="23" t="n">
        <v>250</v>
      </c>
      <c r="B253" s="24" t="s">
        <v>394</v>
      </c>
    </row>
    <row r="254" customFormat="false" ht="15" hidden="false" customHeight="true" outlineLevel="0" collapsed="false">
      <c r="A254" s="23" t="n">
        <v>251</v>
      </c>
      <c r="B254" s="24" t="s">
        <v>395</v>
      </c>
    </row>
    <row r="255" customFormat="false" ht="15" hidden="false" customHeight="true" outlineLevel="0" collapsed="false">
      <c r="A255" s="23" t="n">
        <v>252</v>
      </c>
      <c r="B255" s="24" t="s">
        <v>396</v>
      </c>
    </row>
    <row r="256" customFormat="false" ht="15" hidden="false" customHeight="true" outlineLevel="0" collapsed="false">
      <c r="A256" s="23" t="n">
        <v>253</v>
      </c>
      <c r="B256" s="24" t="s">
        <v>397</v>
      </c>
    </row>
    <row r="257" customFormat="false" ht="15" hidden="false" customHeight="true" outlineLevel="0" collapsed="false">
      <c r="A257" s="23" t="n">
        <v>254</v>
      </c>
      <c r="B257" s="24" t="s">
        <v>398</v>
      </c>
    </row>
    <row r="258" customFormat="false" ht="15" hidden="false" customHeight="true" outlineLevel="0" collapsed="false">
      <c r="A258" s="23" t="n">
        <v>255</v>
      </c>
      <c r="B258" s="24"/>
    </row>
    <row r="259" customFormat="false" ht="15" hidden="false" customHeight="true" outlineLevel="0" collapsed="false">
      <c r="A259" s="23" t="n">
        <v>256</v>
      </c>
      <c r="B259" s="24" t="s">
        <v>399</v>
      </c>
    </row>
    <row r="260" customFormat="false" ht="15" hidden="false" customHeight="true" outlineLevel="0" collapsed="false">
      <c r="A260" s="23" t="n">
        <v>257</v>
      </c>
      <c r="B260" s="24" t="s">
        <v>400</v>
      </c>
    </row>
    <row r="261" customFormat="false" ht="15" hidden="false" customHeight="true" outlineLevel="0" collapsed="false">
      <c r="A261" s="23" t="n">
        <v>258</v>
      </c>
      <c r="B261" s="24" t="s">
        <v>401</v>
      </c>
    </row>
    <row r="262" customFormat="false" ht="15" hidden="false" customHeight="true" outlineLevel="0" collapsed="false">
      <c r="A262" s="23" t="n">
        <v>259</v>
      </c>
      <c r="B262" s="24" t="s">
        <v>402</v>
      </c>
    </row>
    <row r="263" customFormat="false" ht="15" hidden="false" customHeight="true" outlineLevel="0" collapsed="false">
      <c r="A263" s="23" t="n">
        <v>260</v>
      </c>
      <c r="B263" s="24"/>
    </row>
    <row r="264" customFormat="false" ht="15" hidden="false" customHeight="true" outlineLevel="0" collapsed="false">
      <c r="A264" s="23" t="n">
        <v>261</v>
      </c>
      <c r="B264" s="24" t="s">
        <v>403</v>
      </c>
    </row>
    <row r="265" customFormat="false" ht="15" hidden="false" customHeight="true" outlineLevel="0" collapsed="false">
      <c r="A265" s="23" t="n">
        <v>262</v>
      </c>
      <c r="B265" s="24" t="s">
        <v>404</v>
      </c>
    </row>
    <row r="266" customFormat="false" ht="15" hidden="false" customHeight="true" outlineLevel="0" collapsed="false">
      <c r="A266" s="23" t="n">
        <v>263</v>
      </c>
      <c r="B266" s="24" t="s">
        <v>405</v>
      </c>
    </row>
    <row r="267" customFormat="false" ht="15" hidden="false" customHeight="true" outlineLevel="0" collapsed="false">
      <c r="A267" s="23" t="n">
        <v>264</v>
      </c>
      <c r="B267" s="24" t="s">
        <v>406</v>
      </c>
    </row>
    <row r="268" customFormat="false" ht="15" hidden="false" customHeight="true" outlineLevel="0" collapsed="false">
      <c r="A268" s="23" t="n">
        <v>265</v>
      </c>
      <c r="B268" s="24" t="s">
        <v>381</v>
      </c>
    </row>
    <row r="269" customFormat="false" ht="15" hidden="false" customHeight="true" outlineLevel="0" collapsed="false">
      <c r="A269" s="23" t="n">
        <v>266</v>
      </c>
      <c r="B269" s="24" t="s">
        <v>407</v>
      </c>
    </row>
    <row r="270" customFormat="false" ht="15" hidden="false" customHeight="true" outlineLevel="0" collapsed="false">
      <c r="A270" s="23" t="n">
        <v>267</v>
      </c>
      <c r="B270" s="24" t="s">
        <v>408</v>
      </c>
    </row>
    <row r="271" customFormat="false" ht="15" hidden="false" customHeight="true" outlineLevel="0" collapsed="false">
      <c r="A271" s="23" t="n">
        <v>268</v>
      </c>
      <c r="B271" s="24" t="s">
        <v>409</v>
      </c>
    </row>
    <row r="272" customFormat="false" ht="15" hidden="false" customHeight="true" outlineLevel="0" collapsed="false">
      <c r="A272" s="23" t="n">
        <v>269</v>
      </c>
      <c r="B272" s="24" t="s">
        <v>410</v>
      </c>
    </row>
    <row r="273" customFormat="false" ht="15" hidden="false" customHeight="true" outlineLevel="0" collapsed="false">
      <c r="A273" s="23" t="n">
        <v>270</v>
      </c>
      <c r="B273" s="24" t="s">
        <v>411</v>
      </c>
    </row>
    <row r="274" customFormat="false" ht="15" hidden="false" customHeight="true" outlineLevel="0" collapsed="false">
      <c r="A274" s="23" t="n">
        <v>271</v>
      </c>
      <c r="B274" s="24" t="s">
        <v>412</v>
      </c>
    </row>
    <row r="275" customFormat="false" ht="15" hidden="false" customHeight="true" outlineLevel="0" collapsed="false">
      <c r="A275" s="23" t="n">
        <v>272</v>
      </c>
      <c r="B275" s="24" t="s">
        <v>413</v>
      </c>
    </row>
    <row r="276" customFormat="false" ht="15" hidden="false" customHeight="true" outlineLevel="0" collapsed="false">
      <c r="A276" s="23" t="n">
        <v>273</v>
      </c>
      <c r="B276" s="24"/>
    </row>
    <row r="277" customFormat="false" ht="15" hidden="false" customHeight="true" outlineLevel="0" collapsed="false">
      <c r="A277" s="23" t="n">
        <v>274</v>
      </c>
      <c r="B277" s="24"/>
    </row>
    <row r="278" customFormat="false" ht="15" hidden="false" customHeight="true" outlineLevel="0" collapsed="false">
      <c r="A278" s="23" t="n">
        <v>275</v>
      </c>
      <c r="B278" s="24" t="s">
        <v>414</v>
      </c>
    </row>
    <row r="279" customFormat="false" ht="15" hidden="false" customHeight="true" outlineLevel="0" collapsed="false">
      <c r="A279" s="23" t="n">
        <v>276</v>
      </c>
      <c r="B279" s="24" t="s">
        <v>415</v>
      </c>
    </row>
    <row r="280" customFormat="false" ht="15" hidden="false" customHeight="true" outlineLevel="0" collapsed="false">
      <c r="A280" s="23" t="n">
        <v>277</v>
      </c>
      <c r="B280" s="24"/>
    </row>
    <row r="281" customFormat="false" ht="15" hidden="false" customHeight="true" outlineLevel="0" collapsed="false">
      <c r="A281" s="23" t="n">
        <v>278</v>
      </c>
      <c r="B281" s="24"/>
    </row>
    <row r="282" customFormat="false" ht="15" hidden="false" customHeight="true" outlineLevel="0" collapsed="false">
      <c r="A282" s="23" t="n">
        <v>279</v>
      </c>
      <c r="B282" s="24" t="s">
        <v>416</v>
      </c>
    </row>
    <row r="283" customFormat="false" ht="15" hidden="false" customHeight="true" outlineLevel="0" collapsed="false">
      <c r="A283" s="23" t="n">
        <v>280</v>
      </c>
      <c r="B283" s="24" t="s">
        <v>417</v>
      </c>
    </row>
    <row r="284" customFormat="false" ht="15" hidden="false" customHeight="true" outlineLevel="0" collapsed="false">
      <c r="A284" s="23" t="n">
        <v>281</v>
      </c>
      <c r="B284" s="24" t="s">
        <v>418</v>
      </c>
    </row>
    <row r="285" customFormat="false" ht="15" hidden="false" customHeight="true" outlineLevel="0" collapsed="false">
      <c r="A285" s="23" t="n">
        <v>282</v>
      </c>
      <c r="B285" s="24" t="s">
        <v>419</v>
      </c>
    </row>
    <row r="286" customFormat="false" ht="15" hidden="false" customHeight="true" outlineLevel="0" collapsed="false">
      <c r="A286" s="23" t="n">
        <v>283</v>
      </c>
      <c r="B286" s="24" t="s">
        <v>420</v>
      </c>
    </row>
    <row r="287" customFormat="false" ht="15" hidden="false" customHeight="true" outlineLevel="0" collapsed="false">
      <c r="A287" s="23" t="n">
        <v>284</v>
      </c>
      <c r="B287" s="24"/>
    </row>
    <row r="288" customFormat="false" ht="15" hidden="false" customHeight="true" outlineLevel="0" collapsed="false">
      <c r="A288" s="23" t="n">
        <v>285</v>
      </c>
      <c r="B288" s="24" t="s">
        <v>421</v>
      </c>
    </row>
    <row r="289" customFormat="false" ht="15" hidden="false" customHeight="true" outlineLevel="0" collapsed="false">
      <c r="A289" s="23" t="n">
        <v>286</v>
      </c>
      <c r="B289" s="24" t="s">
        <v>422</v>
      </c>
    </row>
    <row r="290" customFormat="false" ht="15" hidden="false" customHeight="true" outlineLevel="0" collapsed="false">
      <c r="A290" s="23" t="n">
        <v>287</v>
      </c>
      <c r="B290" s="24"/>
    </row>
    <row r="291" customFormat="false" ht="15" hidden="false" customHeight="true" outlineLevel="0" collapsed="false">
      <c r="A291" s="23" t="n">
        <v>288</v>
      </c>
      <c r="B291" s="24" t="s">
        <v>423</v>
      </c>
    </row>
    <row r="292" customFormat="false" ht="15" hidden="false" customHeight="true" outlineLevel="0" collapsed="false">
      <c r="A292" s="23" t="n">
        <v>289</v>
      </c>
      <c r="B292" s="24" t="s">
        <v>424</v>
      </c>
    </row>
    <row r="293" customFormat="false" ht="15" hidden="false" customHeight="true" outlineLevel="0" collapsed="false">
      <c r="A293" s="23" t="n">
        <v>290</v>
      </c>
      <c r="B293" s="24" t="s">
        <v>425</v>
      </c>
    </row>
    <row r="294" customFormat="false" ht="15" hidden="false" customHeight="true" outlineLevel="0" collapsed="false">
      <c r="A294" s="23" t="n">
        <v>291</v>
      </c>
      <c r="B294" s="24" t="s">
        <v>426</v>
      </c>
    </row>
    <row r="295" customFormat="false" ht="15" hidden="false" customHeight="true" outlineLevel="0" collapsed="false">
      <c r="A295" s="23" t="n">
        <v>292</v>
      </c>
      <c r="B295" s="24" t="s">
        <v>423</v>
      </c>
    </row>
    <row r="296" customFormat="false" ht="15" hidden="false" customHeight="true" outlineLevel="0" collapsed="false">
      <c r="A296" s="23" t="n">
        <v>293</v>
      </c>
      <c r="B296" s="24" t="s">
        <v>427</v>
      </c>
    </row>
    <row r="297" customFormat="false" ht="15" hidden="false" customHeight="true" outlineLevel="0" collapsed="false">
      <c r="A297" s="23" t="n">
        <v>294</v>
      </c>
      <c r="B297" s="24" t="s">
        <v>428</v>
      </c>
    </row>
    <row r="298" customFormat="false" ht="15" hidden="false" customHeight="true" outlineLevel="0" collapsed="false">
      <c r="A298" s="23" t="n">
        <v>295</v>
      </c>
      <c r="B298" s="24" t="s">
        <v>429</v>
      </c>
    </row>
    <row r="299" customFormat="false" ht="15" hidden="false" customHeight="true" outlineLevel="0" collapsed="false">
      <c r="A299" s="23" t="n">
        <v>296</v>
      </c>
      <c r="B299" s="24" t="s">
        <v>430</v>
      </c>
    </row>
    <row r="300" customFormat="false" ht="15" hidden="false" customHeight="true" outlineLevel="0" collapsed="false">
      <c r="A300" s="23" t="n">
        <v>297</v>
      </c>
      <c r="B300" s="24" t="s">
        <v>431</v>
      </c>
    </row>
    <row r="301" customFormat="false" ht="15" hidden="false" customHeight="true" outlineLevel="0" collapsed="false">
      <c r="A301" s="23" t="n">
        <v>298</v>
      </c>
      <c r="B301" s="24" t="s">
        <v>432</v>
      </c>
    </row>
    <row r="302" customFormat="false" ht="15" hidden="false" customHeight="true" outlineLevel="0" collapsed="false">
      <c r="A302" s="23" t="n">
        <v>299</v>
      </c>
      <c r="B302" s="24" t="s">
        <v>433</v>
      </c>
    </row>
    <row r="303" customFormat="false" ht="15" hidden="false" customHeight="true" outlineLevel="0" collapsed="false">
      <c r="A303" s="23" t="n">
        <v>300</v>
      </c>
      <c r="B303" s="24" t="s">
        <v>434</v>
      </c>
    </row>
    <row r="304" customFormat="false" ht="15" hidden="false" customHeight="true" outlineLevel="0" collapsed="false">
      <c r="A304" s="23" t="n">
        <v>301</v>
      </c>
      <c r="B304" s="24"/>
    </row>
    <row r="305" customFormat="false" ht="15" hidden="false" customHeight="true" outlineLevel="0" collapsed="false">
      <c r="A305" s="23" t="n">
        <v>302</v>
      </c>
      <c r="B305" s="24" t="s">
        <v>423</v>
      </c>
    </row>
    <row r="306" customFormat="false" ht="15" hidden="false" customHeight="true" outlineLevel="0" collapsed="false">
      <c r="A306" s="23" t="n">
        <v>303</v>
      </c>
      <c r="B306" s="24" t="s">
        <v>435</v>
      </c>
    </row>
    <row r="307" customFormat="false" ht="15" hidden="false" customHeight="true" outlineLevel="0" collapsed="false">
      <c r="A307" s="23" t="n">
        <v>304</v>
      </c>
      <c r="B307" s="24" t="s">
        <v>436</v>
      </c>
    </row>
    <row r="308" customFormat="false" ht="15" hidden="false" customHeight="true" outlineLevel="0" collapsed="false">
      <c r="A308" s="23" t="n">
        <v>305</v>
      </c>
      <c r="B308" s="24" t="s">
        <v>437</v>
      </c>
    </row>
    <row r="309" customFormat="false" ht="15" hidden="false" customHeight="true" outlineLevel="0" collapsed="false">
      <c r="A309" s="23" t="n">
        <v>306</v>
      </c>
      <c r="B309" s="24" t="s">
        <v>438</v>
      </c>
    </row>
    <row r="310" customFormat="false" ht="15" hidden="false" customHeight="true" outlineLevel="0" collapsed="false">
      <c r="A310" s="23" t="n">
        <v>307</v>
      </c>
      <c r="B310" s="24" t="s">
        <v>423</v>
      </c>
    </row>
    <row r="311" customFormat="false" ht="15" hidden="false" customHeight="true" outlineLevel="0" collapsed="false">
      <c r="A311" s="23" t="n">
        <v>308</v>
      </c>
      <c r="B311" s="24" t="s">
        <v>439</v>
      </c>
    </row>
    <row r="312" customFormat="false" ht="15" hidden="false" customHeight="true" outlineLevel="0" collapsed="false">
      <c r="A312" s="23" t="n">
        <v>309</v>
      </c>
      <c r="B312" s="24" t="s">
        <v>440</v>
      </c>
    </row>
    <row r="313" customFormat="false" ht="15" hidden="false" customHeight="true" outlineLevel="0" collapsed="false">
      <c r="A313" s="23" t="n">
        <v>310</v>
      </c>
      <c r="B313" s="24" t="s">
        <v>270</v>
      </c>
    </row>
    <row r="314" customFormat="false" ht="15" hidden="false" customHeight="true" outlineLevel="0" collapsed="false">
      <c r="A314" s="23" t="n">
        <v>311</v>
      </c>
      <c r="B314" s="24" t="s">
        <v>441</v>
      </c>
    </row>
    <row r="315" customFormat="false" ht="15" hidden="false" customHeight="true" outlineLevel="0" collapsed="false">
      <c r="A315" s="23" t="n">
        <v>312</v>
      </c>
      <c r="B315" s="24" t="s">
        <v>442</v>
      </c>
    </row>
    <row r="316" customFormat="false" ht="15" hidden="false" customHeight="true" outlineLevel="0" collapsed="false">
      <c r="A316" s="23" t="n">
        <v>313</v>
      </c>
      <c r="B316" s="24" t="s">
        <v>443</v>
      </c>
    </row>
    <row r="317" customFormat="false" ht="15" hidden="false" customHeight="true" outlineLevel="0" collapsed="false">
      <c r="A317" s="23" t="n">
        <v>314</v>
      </c>
      <c r="B317" s="24" t="s">
        <v>444</v>
      </c>
    </row>
    <row r="318" customFormat="false" ht="15" hidden="false" customHeight="true" outlineLevel="0" collapsed="false">
      <c r="A318" s="23" t="n">
        <v>315</v>
      </c>
      <c r="B318" s="24" t="s">
        <v>445</v>
      </c>
    </row>
    <row r="319" customFormat="false" ht="15" hidden="false" customHeight="true" outlineLevel="0" collapsed="false">
      <c r="A319" s="23" t="n">
        <v>316</v>
      </c>
      <c r="B319" s="24" t="s">
        <v>446</v>
      </c>
    </row>
    <row r="320" customFormat="false" ht="15" hidden="false" customHeight="true" outlineLevel="0" collapsed="false">
      <c r="A320" s="23" t="n">
        <v>317</v>
      </c>
      <c r="B320" s="24" t="s">
        <v>447</v>
      </c>
    </row>
    <row r="321" customFormat="false" ht="15" hidden="false" customHeight="true" outlineLevel="0" collapsed="false">
      <c r="A321" s="23" t="n">
        <v>318</v>
      </c>
      <c r="B321" s="24" t="s">
        <v>448</v>
      </c>
    </row>
    <row r="322" customFormat="false" ht="15" hidden="false" customHeight="true" outlineLevel="0" collapsed="false">
      <c r="A322" s="23" t="n">
        <v>319</v>
      </c>
      <c r="B322" s="24" t="s">
        <v>449</v>
      </c>
    </row>
    <row r="323" customFormat="false" ht="15" hidden="false" customHeight="true" outlineLevel="0" collapsed="false">
      <c r="A323" s="23" t="n">
        <v>320</v>
      </c>
      <c r="B323" s="24" t="s">
        <v>450</v>
      </c>
    </row>
    <row r="324" customFormat="false" ht="15" hidden="false" customHeight="true" outlineLevel="0" collapsed="false">
      <c r="A324" s="23" t="n">
        <v>321</v>
      </c>
      <c r="B324" s="24" t="s">
        <v>451</v>
      </c>
    </row>
    <row r="325" customFormat="false" ht="15" hidden="false" customHeight="true" outlineLevel="0" collapsed="false">
      <c r="A325" s="23" t="n">
        <v>322</v>
      </c>
      <c r="B325" s="24" t="s">
        <v>452</v>
      </c>
    </row>
    <row r="326" customFormat="false" ht="15" hidden="false" customHeight="true" outlineLevel="0" collapsed="false">
      <c r="A326" s="23" t="n">
        <v>323</v>
      </c>
      <c r="B326" s="24" t="s">
        <v>453</v>
      </c>
    </row>
    <row r="327" customFormat="false" ht="15" hidden="false" customHeight="true" outlineLevel="0" collapsed="false">
      <c r="A327" s="23" t="n">
        <v>324</v>
      </c>
      <c r="B327" s="24" t="s">
        <v>454</v>
      </c>
    </row>
    <row r="328" customFormat="false" ht="15" hidden="false" customHeight="true" outlineLevel="0" collapsed="false">
      <c r="A328" s="23" t="n">
        <v>325</v>
      </c>
      <c r="B328" s="24" t="s">
        <v>455</v>
      </c>
    </row>
    <row r="329" customFormat="false" ht="15" hidden="false" customHeight="true" outlineLevel="0" collapsed="false">
      <c r="A329" s="23" t="n">
        <v>326</v>
      </c>
      <c r="B329" s="24" t="s">
        <v>456</v>
      </c>
    </row>
    <row r="330" customFormat="false" ht="15" hidden="false" customHeight="true" outlineLevel="0" collapsed="false">
      <c r="A330" s="23" t="n">
        <v>327</v>
      </c>
      <c r="B330" s="24" t="s">
        <v>457</v>
      </c>
    </row>
    <row r="331" customFormat="false" ht="15" hidden="false" customHeight="true" outlineLevel="0" collapsed="false">
      <c r="A331" s="23" t="n">
        <v>328</v>
      </c>
      <c r="B331" s="24" t="s">
        <v>458</v>
      </c>
    </row>
    <row r="332" customFormat="false" ht="15" hidden="false" customHeight="true" outlineLevel="0" collapsed="false">
      <c r="A332" s="23" t="n">
        <v>329</v>
      </c>
      <c r="B332" s="24" t="s">
        <v>459</v>
      </c>
    </row>
    <row r="333" customFormat="false" ht="15" hidden="false" customHeight="true" outlineLevel="0" collapsed="false">
      <c r="A333" s="23" t="n">
        <v>330</v>
      </c>
      <c r="B333" s="24" t="s">
        <v>460</v>
      </c>
    </row>
    <row r="334" customFormat="false" ht="15" hidden="false" customHeight="true" outlineLevel="0" collapsed="false">
      <c r="A334" s="23" t="n">
        <v>331</v>
      </c>
      <c r="B334" s="24" t="s">
        <v>461</v>
      </c>
    </row>
    <row r="335" customFormat="false" ht="15" hidden="false" customHeight="true" outlineLevel="0" collapsed="false">
      <c r="A335" s="23" t="n">
        <v>332</v>
      </c>
      <c r="B335" s="24" t="s">
        <v>462</v>
      </c>
    </row>
    <row r="336" customFormat="false" ht="15" hidden="false" customHeight="true" outlineLevel="0" collapsed="false">
      <c r="A336" s="23" t="n">
        <v>333</v>
      </c>
      <c r="B336" s="24"/>
    </row>
    <row r="337" customFormat="false" ht="15" hidden="false" customHeight="true" outlineLevel="0" collapsed="false">
      <c r="A337" s="23" t="n">
        <v>334</v>
      </c>
      <c r="B337" s="24" t="s">
        <v>463</v>
      </c>
    </row>
    <row r="338" customFormat="false" ht="15" hidden="false" customHeight="true" outlineLevel="0" collapsed="false">
      <c r="A338" s="23" t="n">
        <v>335</v>
      </c>
      <c r="B338" s="24" t="s">
        <v>464</v>
      </c>
    </row>
    <row r="339" customFormat="false" ht="15" hidden="false" customHeight="true" outlineLevel="0" collapsed="false">
      <c r="A339" s="23" t="n">
        <v>336</v>
      </c>
      <c r="B339" s="24" t="s">
        <v>465</v>
      </c>
    </row>
    <row r="340" customFormat="false" ht="15" hidden="false" customHeight="true" outlineLevel="0" collapsed="false">
      <c r="A340" s="23" t="n">
        <v>337</v>
      </c>
      <c r="B340" s="24" t="s">
        <v>466</v>
      </c>
    </row>
    <row r="341" customFormat="false" ht="15" hidden="false" customHeight="true" outlineLevel="0" collapsed="false">
      <c r="A341" s="23" t="n">
        <v>338</v>
      </c>
      <c r="B341" s="24" t="s">
        <v>467</v>
      </c>
    </row>
    <row r="342" customFormat="false" ht="15" hidden="false" customHeight="true" outlineLevel="0" collapsed="false">
      <c r="A342" s="23" t="n">
        <v>339</v>
      </c>
      <c r="B342" s="24" t="s">
        <v>468</v>
      </c>
    </row>
    <row r="343" customFormat="false" ht="15" hidden="false" customHeight="true" outlineLevel="0" collapsed="false">
      <c r="A343" s="23" t="n">
        <v>340</v>
      </c>
      <c r="B343" s="24" t="s">
        <v>469</v>
      </c>
    </row>
    <row r="344" customFormat="false" ht="15" hidden="false" customHeight="true" outlineLevel="0" collapsed="false">
      <c r="A344" s="23" t="n">
        <v>341</v>
      </c>
      <c r="B344" s="24" t="s">
        <v>470</v>
      </c>
    </row>
    <row r="345" customFormat="false" ht="15" hidden="false" customHeight="true" outlineLevel="0" collapsed="false">
      <c r="A345" s="23" t="n">
        <v>342</v>
      </c>
      <c r="B345" s="24" t="s">
        <v>471</v>
      </c>
    </row>
    <row r="346" customFormat="false" ht="15" hidden="false" customHeight="true" outlineLevel="0" collapsed="false">
      <c r="A346" s="23" t="n">
        <v>343</v>
      </c>
      <c r="B346" s="24" t="s">
        <v>472</v>
      </c>
    </row>
    <row r="347" customFormat="false" ht="15" hidden="false" customHeight="true" outlineLevel="0" collapsed="false">
      <c r="A347" s="23" t="n">
        <v>344</v>
      </c>
      <c r="B347" s="24" t="s">
        <v>473</v>
      </c>
    </row>
    <row r="348" customFormat="false" ht="15" hidden="false" customHeight="true" outlineLevel="0" collapsed="false">
      <c r="A348" s="23" t="n">
        <v>345</v>
      </c>
      <c r="B348" s="24" t="s">
        <v>474</v>
      </c>
    </row>
    <row r="349" customFormat="false" ht="15" hidden="false" customHeight="true" outlineLevel="0" collapsed="false">
      <c r="A349" s="23" t="n">
        <v>346</v>
      </c>
      <c r="B349" s="24"/>
    </row>
    <row r="350" customFormat="false" ht="15" hidden="false" customHeight="true" outlineLevel="0" collapsed="false">
      <c r="A350" s="23" t="n">
        <v>347</v>
      </c>
      <c r="B350" s="24" t="s">
        <v>475</v>
      </c>
    </row>
    <row r="351" customFormat="false" ht="15" hidden="false" customHeight="true" outlineLevel="0" collapsed="false">
      <c r="A351" s="23" t="n">
        <v>348</v>
      </c>
      <c r="B351" s="24" t="s">
        <v>476</v>
      </c>
    </row>
    <row r="352" customFormat="false" ht="15" hidden="false" customHeight="true" outlineLevel="0" collapsed="false">
      <c r="A352" s="23" t="n">
        <v>349</v>
      </c>
      <c r="B352" s="24" t="s">
        <v>477</v>
      </c>
    </row>
    <row r="353" customFormat="false" ht="15" hidden="false" customHeight="true" outlineLevel="0" collapsed="false">
      <c r="A353" s="23" t="n">
        <v>350</v>
      </c>
      <c r="B353" s="24" t="s">
        <v>478</v>
      </c>
    </row>
    <row r="354" customFormat="false" ht="15" hidden="false" customHeight="true" outlineLevel="0" collapsed="false">
      <c r="A354" s="23" t="n">
        <v>351</v>
      </c>
      <c r="B354" s="24" t="s">
        <v>479</v>
      </c>
    </row>
    <row r="355" customFormat="false" ht="15" hidden="false" customHeight="true" outlineLevel="0" collapsed="false">
      <c r="A355" s="23" t="n">
        <v>352</v>
      </c>
      <c r="B355" s="24" t="s">
        <v>480</v>
      </c>
    </row>
    <row r="356" customFormat="false" ht="15" hidden="false" customHeight="true" outlineLevel="0" collapsed="false">
      <c r="A356" s="23" t="n">
        <v>353</v>
      </c>
      <c r="B356" s="24" t="s">
        <v>451</v>
      </c>
    </row>
    <row r="357" customFormat="false" ht="15" hidden="false" customHeight="true" outlineLevel="0" collapsed="false">
      <c r="A357" s="23" t="n">
        <v>354</v>
      </c>
      <c r="B357" s="24" t="s">
        <v>452</v>
      </c>
    </row>
    <row r="358" customFormat="false" ht="15" hidden="false" customHeight="true" outlineLevel="0" collapsed="false">
      <c r="A358" s="23" t="n">
        <v>355</v>
      </c>
      <c r="B358" s="24" t="s">
        <v>481</v>
      </c>
    </row>
    <row r="359" customFormat="false" ht="15" hidden="false" customHeight="true" outlineLevel="0" collapsed="false">
      <c r="A359" s="23" t="n">
        <v>356</v>
      </c>
      <c r="B359" s="24" t="s">
        <v>482</v>
      </c>
    </row>
    <row r="360" customFormat="false" ht="15" hidden="false" customHeight="true" outlineLevel="0" collapsed="false">
      <c r="A360" s="23" t="n">
        <v>357</v>
      </c>
      <c r="B360" s="24" t="s">
        <v>483</v>
      </c>
    </row>
    <row r="361" customFormat="false" ht="15" hidden="false" customHeight="true" outlineLevel="0" collapsed="false">
      <c r="A361" s="23" t="n">
        <v>358</v>
      </c>
      <c r="B361" s="24"/>
    </row>
    <row r="362" customFormat="false" ht="15" hidden="false" customHeight="true" outlineLevel="0" collapsed="false">
      <c r="A362" s="23" t="n">
        <v>359</v>
      </c>
      <c r="B362" s="24" t="s">
        <v>423</v>
      </c>
    </row>
    <row r="363" customFormat="false" ht="15" hidden="false" customHeight="true" outlineLevel="0" collapsed="false">
      <c r="A363" s="23" t="n">
        <v>360</v>
      </c>
      <c r="B363" s="24" t="s">
        <v>484</v>
      </c>
    </row>
    <row r="364" customFormat="false" ht="15" hidden="false" customHeight="true" outlineLevel="0" collapsed="false">
      <c r="A364" s="23" t="n">
        <v>361</v>
      </c>
      <c r="B364" s="24" t="s">
        <v>485</v>
      </c>
    </row>
    <row r="365" customFormat="false" ht="15" hidden="false" customHeight="true" outlineLevel="0" collapsed="false">
      <c r="A365" s="23" t="n">
        <v>362</v>
      </c>
      <c r="B365" s="24" t="s">
        <v>486</v>
      </c>
    </row>
    <row r="366" customFormat="false" ht="15" hidden="false" customHeight="true" outlineLevel="0" collapsed="false">
      <c r="A366" s="23" t="n">
        <v>363</v>
      </c>
      <c r="B366" s="24" t="s">
        <v>423</v>
      </c>
    </row>
    <row r="367" customFormat="false" ht="15" hidden="false" customHeight="true" outlineLevel="0" collapsed="false">
      <c r="A367" s="23" t="n">
        <v>364</v>
      </c>
      <c r="B367" s="24" t="s">
        <v>487</v>
      </c>
    </row>
    <row r="368" customFormat="false" ht="15" hidden="false" customHeight="true" outlineLevel="0" collapsed="false">
      <c r="A368" s="23" t="n">
        <v>365</v>
      </c>
      <c r="B368" s="24" t="s">
        <v>488</v>
      </c>
    </row>
    <row r="369" customFormat="false" ht="15" hidden="false" customHeight="true" outlineLevel="0" collapsed="false">
      <c r="A369" s="23" t="n">
        <v>366</v>
      </c>
      <c r="B369" s="24" t="s">
        <v>489</v>
      </c>
    </row>
    <row r="370" customFormat="false" ht="15" hidden="false" customHeight="true" outlineLevel="0" collapsed="false">
      <c r="A370" s="23" t="n">
        <v>367</v>
      </c>
      <c r="B370" s="24" t="s">
        <v>490</v>
      </c>
    </row>
    <row r="371" customFormat="false" ht="15" hidden="false" customHeight="true" outlineLevel="0" collapsed="false">
      <c r="A371" s="23" t="n">
        <v>368</v>
      </c>
      <c r="B371" s="24" t="s">
        <v>491</v>
      </c>
    </row>
    <row r="372" customFormat="false" ht="15" hidden="false" customHeight="true" outlineLevel="0" collapsed="false">
      <c r="A372" s="23" t="n">
        <v>369</v>
      </c>
      <c r="B372" s="24" t="s">
        <v>492</v>
      </c>
    </row>
    <row r="373" customFormat="false" ht="15" hidden="false" customHeight="true" outlineLevel="0" collapsed="false">
      <c r="A373" s="23" t="n">
        <v>370</v>
      </c>
      <c r="B373" s="24" t="s">
        <v>493</v>
      </c>
    </row>
    <row r="374" customFormat="false" ht="15" hidden="false" customHeight="true" outlineLevel="0" collapsed="false">
      <c r="A374" s="23" t="n">
        <v>371</v>
      </c>
      <c r="B374" s="24" t="s">
        <v>494</v>
      </c>
    </row>
    <row r="375" customFormat="false" ht="15" hidden="false" customHeight="true" outlineLevel="0" collapsed="false">
      <c r="A375" s="23" t="n">
        <v>372</v>
      </c>
      <c r="B375" s="24" t="s">
        <v>495</v>
      </c>
    </row>
    <row r="376" customFormat="false" ht="15" hidden="false" customHeight="true" outlineLevel="0" collapsed="false">
      <c r="A376" s="23" t="n">
        <v>373</v>
      </c>
      <c r="B376" s="24" t="s">
        <v>496</v>
      </c>
    </row>
    <row r="377" customFormat="false" ht="15" hidden="false" customHeight="true" outlineLevel="0" collapsed="false">
      <c r="A377" s="23" t="n">
        <v>374</v>
      </c>
      <c r="B377" s="24" t="s">
        <v>497</v>
      </c>
    </row>
    <row r="378" customFormat="false" ht="15" hidden="false" customHeight="true" outlineLevel="0" collapsed="false">
      <c r="A378" s="23" t="n">
        <v>375</v>
      </c>
      <c r="B378" s="24" t="s">
        <v>498</v>
      </c>
    </row>
    <row r="379" customFormat="false" ht="15" hidden="false" customHeight="true" outlineLevel="0" collapsed="false">
      <c r="A379" s="23" t="n">
        <v>376</v>
      </c>
      <c r="B379" s="24" t="s">
        <v>499</v>
      </c>
    </row>
    <row r="380" customFormat="false" ht="15" hidden="false" customHeight="true" outlineLevel="0" collapsed="false">
      <c r="A380" s="23" t="n">
        <v>377</v>
      </c>
      <c r="B380" s="24"/>
    </row>
    <row r="381" customFormat="false" ht="15" hidden="false" customHeight="true" outlineLevel="0" collapsed="false">
      <c r="A381" s="23" t="n">
        <v>378</v>
      </c>
      <c r="B381" s="24" t="s">
        <v>423</v>
      </c>
    </row>
    <row r="382" customFormat="false" ht="15" hidden="false" customHeight="true" outlineLevel="0" collapsed="false">
      <c r="A382" s="23" t="n">
        <v>379</v>
      </c>
      <c r="B382" s="24" t="s">
        <v>500</v>
      </c>
    </row>
    <row r="383" customFormat="false" ht="15" hidden="false" customHeight="true" outlineLevel="0" collapsed="false">
      <c r="A383" s="23" t="n">
        <v>380</v>
      </c>
      <c r="B383" s="24" t="s">
        <v>501</v>
      </c>
    </row>
    <row r="384" customFormat="false" ht="15" hidden="false" customHeight="true" outlineLevel="0" collapsed="false">
      <c r="A384" s="23" t="n">
        <v>381</v>
      </c>
      <c r="B384" s="24" t="s">
        <v>423</v>
      </c>
    </row>
    <row r="385" customFormat="false" ht="15" hidden="false" customHeight="true" outlineLevel="0" collapsed="false">
      <c r="A385" s="23" t="n">
        <v>382</v>
      </c>
      <c r="B385" s="24" t="s">
        <v>502</v>
      </c>
    </row>
    <row r="386" customFormat="false" ht="15" hidden="false" customHeight="true" outlineLevel="0" collapsed="false">
      <c r="A386" s="23" t="n">
        <v>383</v>
      </c>
      <c r="B386" s="24" t="s">
        <v>503</v>
      </c>
    </row>
    <row r="387" customFormat="false" ht="15" hidden="false" customHeight="true" outlineLevel="0" collapsed="false">
      <c r="A387" s="23" t="n">
        <v>384</v>
      </c>
      <c r="B387" s="24" t="s">
        <v>504</v>
      </c>
    </row>
    <row r="388" customFormat="false" ht="15" hidden="false" customHeight="true" outlineLevel="0" collapsed="false">
      <c r="A388" s="23" t="n">
        <v>385</v>
      </c>
      <c r="B388" s="24" t="s">
        <v>505</v>
      </c>
    </row>
    <row r="389" customFormat="false" ht="15" hidden="false" customHeight="true" outlineLevel="0" collapsed="false">
      <c r="A389" s="23" t="n">
        <v>386</v>
      </c>
      <c r="B389" s="24" t="s">
        <v>506</v>
      </c>
    </row>
    <row r="390" customFormat="false" ht="15" hidden="false" customHeight="true" outlineLevel="0" collapsed="false">
      <c r="A390" s="23" t="n">
        <v>387</v>
      </c>
      <c r="B390" s="24" t="s">
        <v>507</v>
      </c>
    </row>
    <row r="391" customFormat="false" ht="15" hidden="false" customHeight="true" outlineLevel="0" collapsed="false">
      <c r="A391" s="23" t="n">
        <v>388</v>
      </c>
      <c r="B391" s="24"/>
    </row>
    <row r="392" customFormat="false" ht="15" hidden="false" customHeight="true" outlineLevel="0" collapsed="false">
      <c r="A392" s="23" t="n">
        <v>389</v>
      </c>
      <c r="B392" s="24" t="s">
        <v>423</v>
      </c>
    </row>
    <row r="393" customFormat="false" ht="15" hidden="false" customHeight="true" outlineLevel="0" collapsed="false">
      <c r="A393" s="23" t="n">
        <v>390</v>
      </c>
      <c r="B393" s="24" t="s">
        <v>508</v>
      </c>
    </row>
    <row r="394" customFormat="false" ht="15" hidden="false" customHeight="true" outlineLevel="0" collapsed="false">
      <c r="A394" s="23" t="n">
        <v>391</v>
      </c>
      <c r="B394" s="24" t="s">
        <v>423</v>
      </c>
    </row>
    <row r="395" customFormat="false" ht="15" hidden="false" customHeight="true" outlineLevel="0" collapsed="false">
      <c r="A395" s="23" t="n">
        <v>392</v>
      </c>
      <c r="B395" s="24" t="s">
        <v>509</v>
      </c>
    </row>
    <row r="396" customFormat="false" ht="15" hidden="false" customHeight="true" outlineLevel="0" collapsed="false">
      <c r="A396" s="23" t="n">
        <v>393</v>
      </c>
      <c r="B396" s="24" t="s">
        <v>510</v>
      </c>
    </row>
    <row r="397" customFormat="false" ht="15" hidden="false" customHeight="true" outlineLevel="0" collapsed="false">
      <c r="A397" s="23" t="n">
        <v>394</v>
      </c>
      <c r="B397" s="24" t="s">
        <v>511</v>
      </c>
    </row>
    <row r="398" customFormat="false" ht="15" hidden="false" customHeight="true" outlineLevel="0" collapsed="false">
      <c r="A398" s="23" t="n">
        <v>395</v>
      </c>
      <c r="B398" s="24" t="s">
        <v>512</v>
      </c>
    </row>
    <row r="399" customFormat="false" ht="15" hidden="false" customHeight="true" outlineLevel="0" collapsed="false">
      <c r="A399" s="23" t="n">
        <v>396</v>
      </c>
      <c r="B399" s="24" t="s">
        <v>513</v>
      </c>
    </row>
    <row r="400" customFormat="false" ht="15" hidden="false" customHeight="true" outlineLevel="0" collapsed="false">
      <c r="A400" s="23" t="n">
        <v>397</v>
      </c>
      <c r="B400" s="24" t="s">
        <v>514</v>
      </c>
    </row>
    <row r="401" customFormat="false" ht="15" hidden="false" customHeight="true" outlineLevel="0" collapsed="false">
      <c r="A401" s="23" t="n">
        <v>398</v>
      </c>
      <c r="B401" s="24" t="s">
        <v>515</v>
      </c>
    </row>
    <row r="402" customFormat="false" ht="15" hidden="false" customHeight="true" outlineLevel="0" collapsed="false">
      <c r="A402" s="23" t="n">
        <v>399</v>
      </c>
      <c r="B402" s="24" t="s">
        <v>516</v>
      </c>
    </row>
    <row r="403" customFormat="false" ht="15" hidden="false" customHeight="true" outlineLevel="0" collapsed="false">
      <c r="A403" s="23" t="n">
        <v>400</v>
      </c>
      <c r="B403" s="24" t="s">
        <v>517</v>
      </c>
    </row>
    <row r="404" customFormat="false" ht="15" hidden="false" customHeight="true" outlineLevel="0" collapsed="false">
      <c r="A404" s="23" t="n">
        <v>401</v>
      </c>
      <c r="B404" s="24" t="s">
        <v>518</v>
      </c>
    </row>
    <row r="405" customFormat="false" ht="15" hidden="false" customHeight="true" outlineLevel="0" collapsed="false">
      <c r="A405" s="23" t="n">
        <v>402</v>
      </c>
      <c r="B405" s="24"/>
    </row>
    <row r="406" customFormat="false" ht="15" hidden="false" customHeight="true" outlineLevel="0" collapsed="false">
      <c r="A406" s="23" t="n">
        <v>403</v>
      </c>
      <c r="B406" s="24" t="s">
        <v>423</v>
      </c>
    </row>
    <row r="407" customFormat="false" ht="15" hidden="false" customHeight="true" outlineLevel="0" collapsed="false">
      <c r="A407" s="23" t="n">
        <v>404</v>
      </c>
      <c r="B407" s="24" t="s">
        <v>519</v>
      </c>
    </row>
    <row r="408" customFormat="false" ht="15" hidden="false" customHeight="true" outlineLevel="0" collapsed="false">
      <c r="A408" s="23" t="n">
        <v>405</v>
      </c>
      <c r="B408" s="24" t="s">
        <v>423</v>
      </c>
    </row>
    <row r="409" customFormat="false" ht="15" hidden="false" customHeight="true" outlineLevel="0" collapsed="false">
      <c r="A409" s="23" t="n">
        <v>406</v>
      </c>
      <c r="B409" s="24" t="s">
        <v>520</v>
      </c>
    </row>
    <row r="410" customFormat="false" ht="15" hidden="false" customHeight="true" outlineLevel="0" collapsed="false">
      <c r="A410" s="23" t="n">
        <v>407</v>
      </c>
      <c r="B410" s="24" t="s">
        <v>521</v>
      </c>
    </row>
    <row r="411" customFormat="false" ht="15" hidden="false" customHeight="true" outlineLevel="0" collapsed="false">
      <c r="A411" s="23" t="n">
        <v>408</v>
      </c>
      <c r="B411" s="24" t="s">
        <v>522</v>
      </c>
    </row>
    <row r="412" customFormat="false" ht="15" hidden="false" customHeight="true" outlineLevel="0" collapsed="false">
      <c r="A412" s="23" t="n">
        <v>409</v>
      </c>
      <c r="B412" s="24" t="s">
        <v>523</v>
      </c>
    </row>
    <row r="413" customFormat="false" ht="15" hidden="false" customHeight="true" outlineLevel="0" collapsed="false">
      <c r="A413" s="23" t="n">
        <v>410</v>
      </c>
      <c r="B413" s="24" t="s">
        <v>524</v>
      </c>
    </row>
    <row r="414" customFormat="false" ht="15" hidden="false" customHeight="true" outlineLevel="0" collapsed="false">
      <c r="A414" s="23" t="n">
        <v>411</v>
      </c>
      <c r="B414" s="24"/>
    </row>
    <row r="415" customFormat="false" ht="15" hidden="false" customHeight="true" outlineLevel="0" collapsed="false">
      <c r="A415" s="23" t="n">
        <v>412</v>
      </c>
      <c r="B415" s="24" t="s">
        <v>423</v>
      </c>
    </row>
    <row r="416" customFormat="false" ht="15" hidden="false" customHeight="true" outlineLevel="0" collapsed="false">
      <c r="A416" s="23" t="n">
        <v>413</v>
      </c>
      <c r="B416" s="24" t="s">
        <v>525</v>
      </c>
    </row>
    <row r="417" customFormat="false" ht="15" hidden="false" customHeight="true" outlineLevel="0" collapsed="false">
      <c r="A417" s="23" t="n">
        <v>414</v>
      </c>
      <c r="B417" s="24" t="s">
        <v>423</v>
      </c>
    </row>
    <row r="418" customFormat="false" ht="15" hidden="false" customHeight="true" outlineLevel="0" collapsed="false">
      <c r="A418" s="23" t="n">
        <v>415</v>
      </c>
      <c r="B418" s="24" t="s">
        <v>526</v>
      </c>
    </row>
    <row r="419" customFormat="false" ht="15" hidden="false" customHeight="true" outlineLevel="0" collapsed="false">
      <c r="A419" s="23" t="n">
        <v>416</v>
      </c>
      <c r="B419" s="24" t="s">
        <v>527</v>
      </c>
    </row>
    <row r="420" customFormat="false" ht="15" hidden="false" customHeight="true" outlineLevel="0" collapsed="false">
      <c r="A420" s="23" t="n">
        <v>417</v>
      </c>
      <c r="B420" s="24" t="s">
        <v>528</v>
      </c>
    </row>
    <row r="421" customFormat="false" ht="15" hidden="false" customHeight="true" outlineLevel="0" collapsed="false">
      <c r="A421" s="23" t="n">
        <v>418</v>
      </c>
      <c r="B421" s="24" t="s">
        <v>529</v>
      </c>
    </row>
    <row r="422" customFormat="false" ht="15" hidden="false" customHeight="true" outlineLevel="0" collapsed="false">
      <c r="A422" s="23" t="n">
        <v>419</v>
      </c>
      <c r="B422" s="24" t="s">
        <v>530</v>
      </c>
    </row>
    <row r="423" customFormat="false" ht="15" hidden="false" customHeight="true" outlineLevel="0" collapsed="false">
      <c r="A423" s="23" t="n">
        <v>420</v>
      </c>
      <c r="B423" s="24" t="s">
        <v>531</v>
      </c>
    </row>
    <row r="424" customFormat="false" ht="15" hidden="false" customHeight="true" outlineLevel="0" collapsed="false">
      <c r="A424" s="23" t="n">
        <v>421</v>
      </c>
      <c r="B424" s="24" t="s">
        <v>532</v>
      </c>
    </row>
    <row r="425" customFormat="false" ht="15" hidden="false" customHeight="true" outlineLevel="0" collapsed="false">
      <c r="A425" s="23" t="n">
        <v>422</v>
      </c>
      <c r="B425" s="24" t="s">
        <v>533</v>
      </c>
    </row>
    <row r="426" customFormat="false" ht="15" hidden="false" customHeight="true" outlineLevel="0" collapsed="false">
      <c r="A426" s="23" t="n">
        <v>423</v>
      </c>
      <c r="B426" s="24" t="s">
        <v>534</v>
      </c>
    </row>
    <row r="427" customFormat="false" ht="15" hidden="false" customHeight="true" outlineLevel="0" collapsed="false">
      <c r="A427" s="23" t="n">
        <v>424</v>
      </c>
      <c r="B427" s="24"/>
    </row>
    <row r="428" customFormat="false" ht="15" hidden="false" customHeight="true" outlineLevel="0" collapsed="false">
      <c r="A428" s="23" t="n">
        <v>425</v>
      </c>
      <c r="B428" s="24" t="s">
        <v>423</v>
      </c>
    </row>
    <row r="429" customFormat="false" ht="15" hidden="false" customHeight="true" outlineLevel="0" collapsed="false">
      <c r="A429" s="23" t="n">
        <v>426</v>
      </c>
      <c r="B429" s="24" t="s">
        <v>535</v>
      </c>
    </row>
    <row r="430" customFormat="false" ht="15" hidden="false" customHeight="true" outlineLevel="0" collapsed="false">
      <c r="A430" s="23" t="n">
        <v>427</v>
      </c>
      <c r="B430" s="24" t="s">
        <v>536</v>
      </c>
    </row>
    <row r="431" customFormat="false" ht="15" hidden="false" customHeight="true" outlineLevel="0" collapsed="false">
      <c r="A431" s="23" t="n">
        <v>428</v>
      </c>
      <c r="B431" s="24" t="s">
        <v>423</v>
      </c>
    </row>
    <row r="432" customFormat="false" ht="15" hidden="false" customHeight="true" outlineLevel="0" collapsed="false">
      <c r="A432" s="23" t="n">
        <v>429</v>
      </c>
      <c r="B432" s="24" t="s">
        <v>537</v>
      </c>
    </row>
    <row r="433" customFormat="false" ht="15" hidden="false" customHeight="true" outlineLevel="0" collapsed="false">
      <c r="A433" s="23" t="n">
        <v>430</v>
      </c>
      <c r="B433" s="24" t="s">
        <v>538</v>
      </c>
    </row>
    <row r="434" customFormat="false" ht="15" hidden="false" customHeight="true" outlineLevel="0" collapsed="false">
      <c r="A434" s="23" t="n">
        <v>431</v>
      </c>
      <c r="B434" s="24" t="s">
        <v>539</v>
      </c>
    </row>
    <row r="435" customFormat="false" ht="15" hidden="false" customHeight="true" outlineLevel="0" collapsed="false">
      <c r="A435" s="23" t="n">
        <v>432</v>
      </c>
      <c r="B435" s="24" t="s">
        <v>540</v>
      </c>
    </row>
    <row r="436" customFormat="false" ht="15" hidden="false" customHeight="true" outlineLevel="0" collapsed="false">
      <c r="A436" s="23" t="n">
        <v>433</v>
      </c>
      <c r="B436" s="24" t="s">
        <v>541</v>
      </c>
    </row>
    <row r="437" customFormat="false" ht="15" hidden="false" customHeight="true" outlineLevel="0" collapsed="false">
      <c r="A437" s="23" t="n">
        <v>434</v>
      </c>
      <c r="B437" s="24" t="s">
        <v>542</v>
      </c>
    </row>
    <row r="438" customFormat="false" ht="15" hidden="false" customHeight="true" outlineLevel="0" collapsed="false">
      <c r="A438" s="23" t="n">
        <v>435</v>
      </c>
      <c r="B438" s="24" t="s">
        <v>543</v>
      </c>
    </row>
    <row r="439" customFormat="false" ht="15" hidden="false" customHeight="true" outlineLevel="0" collapsed="false">
      <c r="A439" s="23" t="n">
        <v>436</v>
      </c>
      <c r="B439" s="24"/>
    </row>
    <row r="440" customFormat="false" ht="15" hidden="false" customHeight="true" outlineLevel="0" collapsed="false">
      <c r="A440" s="23" t="n">
        <v>437</v>
      </c>
      <c r="B440" s="24" t="s">
        <v>423</v>
      </c>
    </row>
    <row r="441" customFormat="false" ht="15" hidden="false" customHeight="true" outlineLevel="0" collapsed="false">
      <c r="A441" s="23" t="n">
        <v>438</v>
      </c>
      <c r="B441" s="24" t="s">
        <v>544</v>
      </c>
    </row>
    <row r="442" customFormat="false" ht="15" hidden="false" customHeight="true" outlineLevel="0" collapsed="false">
      <c r="A442" s="23" t="n">
        <v>439</v>
      </c>
      <c r="B442" s="24" t="s">
        <v>545</v>
      </c>
    </row>
    <row r="443" customFormat="false" ht="15" hidden="false" customHeight="true" outlineLevel="0" collapsed="false">
      <c r="A443" s="23" t="n">
        <v>440</v>
      </c>
      <c r="B443" s="24" t="s">
        <v>546</v>
      </c>
    </row>
    <row r="444" customFormat="false" ht="15" hidden="false" customHeight="true" outlineLevel="0" collapsed="false">
      <c r="A444" s="23" t="n">
        <v>441</v>
      </c>
      <c r="B444" s="24" t="s">
        <v>547</v>
      </c>
    </row>
    <row r="445" customFormat="false" ht="15" hidden="false" customHeight="true" outlineLevel="0" collapsed="false">
      <c r="A445" s="23" t="n">
        <v>442</v>
      </c>
      <c r="B445" s="24" t="s">
        <v>548</v>
      </c>
    </row>
    <row r="446" customFormat="false" ht="15" hidden="false" customHeight="true" outlineLevel="0" collapsed="false">
      <c r="A446" s="23" t="n">
        <v>443</v>
      </c>
      <c r="B446" s="24" t="s">
        <v>549</v>
      </c>
    </row>
    <row r="447" customFormat="false" ht="15" hidden="false" customHeight="true" outlineLevel="0" collapsed="false">
      <c r="A447" s="23" t="n">
        <v>444</v>
      </c>
      <c r="B447" s="24" t="s">
        <v>550</v>
      </c>
    </row>
    <row r="448" customFormat="false" ht="15" hidden="false" customHeight="true" outlineLevel="0" collapsed="false">
      <c r="A448" s="23" t="n">
        <v>445</v>
      </c>
      <c r="B448" s="24" t="s">
        <v>551</v>
      </c>
    </row>
    <row r="449" customFormat="false" ht="15" hidden="false" customHeight="true" outlineLevel="0" collapsed="false">
      <c r="A449" s="23" t="n">
        <v>446</v>
      </c>
      <c r="B449" s="24"/>
    </row>
    <row r="450" customFormat="false" ht="15" hidden="false" customHeight="true" outlineLevel="0" collapsed="false">
      <c r="A450" s="23" t="n">
        <v>447</v>
      </c>
      <c r="B450" s="24"/>
    </row>
    <row r="451" customFormat="false" ht="15" hidden="false" customHeight="true" outlineLevel="0" collapsed="false">
      <c r="A451" s="23" t="n">
        <v>448</v>
      </c>
      <c r="B451" s="24" t="s">
        <v>552</v>
      </c>
    </row>
    <row r="452" customFormat="false" ht="15" hidden="false" customHeight="true" outlineLevel="0" collapsed="false">
      <c r="A452" s="23" t="n">
        <v>449</v>
      </c>
      <c r="B452" s="24" t="s">
        <v>553</v>
      </c>
    </row>
    <row r="453" customFormat="false" ht="15" hidden="false" customHeight="true" outlineLevel="0" collapsed="false">
      <c r="A453" s="23" t="n">
        <v>450</v>
      </c>
      <c r="B453" s="24" t="s">
        <v>554</v>
      </c>
    </row>
    <row r="454" customFormat="false" ht="15" hidden="false" customHeight="true" outlineLevel="0" collapsed="false">
      <c r="A454" s="23" t="n">
        <v>451</v>
      </c>
      <c r="B454" s="24" t="s">
        <v>555</v>
      </c>
    </row>
    <row r="455" customFormat="false" ht="15" hidden="false" customHeight="true" outlineLevel="0" collapsed="false">
      <c r="A455" s="23" t="n">
        <v>452</v>
      </c>
      <c r="B455" s="24" t="s">
        <v>556</v>
      </c>
    </row>
    <row r="456" customFormat="false" ht="15" hidden="false" customHeight="true" outlineLevel="0" collapsed="false">
      <c r="A456" s="23" t="n">
        <v>453</v>
      </c>
      <c r="B456" s="24" t="s">
        <v>557</v>
      </c>
    </row>
    <row r="457" customFormat="false" ht="15" hidden="false" customHeight="true" outlineLevel="0" collapsed="false">
      <c r="A457" s="23" t="n">
        <v>454</v>
      </c>
      <c r="B457" s="24" t="s">
        <v>558</v>
      </c>
    </row>
    <row r="458" customFormat="false" ht="15" hidden="false" customHeight="true" outlineLevel="0" collapsed="false">
      <c r="A458" s="23" t="n">
        <v>455</v>
      </c>
      <c r="B458" s="24" t="s">
        <v>559</v>
      </c>
    </row>
    <row r="459" customFormat="false" ht="15" hidden="false" customHeight="true" outlineLevel="0" collapsed="false">
      <c r="A459" s="23" t="n">
        <v>456</v>
      </c>
      <c r="B459"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2"/>
    <col collapsed="false" customWidth="true" hidden="false" outlineLevel="0" max="3" min="3" style="1" width="9"/>
    <col collapsed="false" customWidth="true" hidden="false" outlineLevel="0" max="5" min="4" style="1" width="10"/>
    <col collapsed="false" customWidth="true" hidden="false" outlineLevel="0" max="6" min="6" style="1" width="12"/>
    <col collapsed="false" customWidth="true" hidden="false" outlineLevel="0" max="7" min="7" style="1" width="10"/>
    <col collapsed="false" customWidth="true" hidden="false" outlineLevel="0" max="8" min="8" style="1" width="50"/>
  </cols>
  <sheetData>
    <row r="1" customFormat="false" ht="17.25" hidden="false" customHeight="true" outlineLevel="0" collapsed="false">
      <c r="A1" s="2" t="s">
        <v>560</v>
      </c>
    </row>
    <row r="2" customFormat="false" ht="15" hidden="false" customHeight="true" outlineLevel="0" collapsed="false">
      <c r="A2" s="3" t="s">
        <v>561</v>
      </c>
    </row>
    <row r="4" customFormat="false" ht="30" hidden="false" customHeight="true" outlineLevel="0" collapsed="false">
      <c r="A4" s="16" t="s">
        <v>95</v>
      </c>
      <c r="B4" s="16" t="s">
        <v>562</v>
      </c>
      <c r="C4" s="16" t="s">
        <v>563</v>
      </c>
      <c r="D4" s="16" t="s">
        <v>564</v>
      </c>
      <c r="E4" s="16" t="s">
        <v>565</v>
      </c>
      <c r="F4" s="16" t="s">
        <v>566</v>
      </c>
      <c r="G4" s="16" t="s">
        <v>567</v>
      </c>
      <c r="H4" s="16" t="s">
        <v>568</v>
      </c>
    </row>
    <row r="5" customFormat="false" ht="15" hidden="false" customHeight="true" outlineLevel="0" collapsed="false">
      <c r="A5" s="12"/>
      <c r="B5" s="11" t="s">
        <v>569</v>
      </c>
      <c r="C5" s="15"/>
      <c r="D5" s="15"/>
      <c r="E5" s="15"/>
      <c r="F5" s="15"/>
      <c r="G5" s="15"/>
      <c r="H5" s="15"/>
    </row>
    <row r="6" customFormat="false" ht="15" hidden="false" customHeight="true" outlineLevel="0" collapsed="false">
      <c r="A6" s="17" t="s">
        <v>570</v>
      </c>
      <c r="B6" s="14" t="s">
        <v>571</v>
      </c>
      <c r="C6" s="25" t="n">
        <v>24</v>
      </c>
      <c r="D6" s="25" t="n">
        <v>36</v>
      </c>
      <c r="E6" s="25" t="n">
        <v>55</v>
      </c>
      <c r="F6" s="26" t="n">
        <f aca="false">ROUND((C6+4*D6+E6)/6,0)</f>
        <v>37</v>
      </c>
      <c r="G6" s="27" t="n">
        <f aca="false">ROUND((E6-C6)/6,1)</f>
        <v>5.2</v>
      </c>
      <c r="H6" s="19" t="s">
        <v>572</v>
      </c>
    </row>
    <row r="7" customFormat="false" ht="15" hidden="false" customHeight="true" outlineLevel="0" collapsed="false">
      <c r="A7" s="17" t="s">
        <v>573</v>
      </c>
      <c r="B7" s="14" t="s">
        <v>574</v>
      </c>
      <c r="C7" s="25" t="n">
        <v>30</v>
      </c>
      <c r="D7" s="25" t="n">
        <v>45</v>
      </c>
      <c r="E7" s="25" t="n">
        <v>68</v>
      </c>
      <c r="F7" s="26" t="n">
        <f aca="false">ROUND((C7+4*D7+E7)/6,0)</f>
        <v>46</v>
      </c>
      <c r="G7" s="27" t="n">
        <f aca="false">ROUND((E7-C7)/6,1)</f>
        <v>6.3</v>
      </c>
      <c r="H7" s="19"/>
    </row>
    <row r="8" customFormat="false" ht="15" hidden="false" customHeight="true" outlineLevel="0" collapsed="false">
      <c r="A8" s="28"/>
      <c r="B8" s="29" t="s">
        <v>575</v>
      </c>
      <c r="C8" s="30" t="n">
        <f aca="false">SUM(C6:C7)</f>
        <v>54</v>
      </c>
      <c r="D8" s="30" t="n">
        <f aca="false">SUM(D6:D7)</f>
        <v>81</v>
      </c>
      <c r="E8" s="30" t="n">
        <f aca="false">SUM(E6:E7)</f>
        <v>123</v>
      </c>
      <c r="F8" s="30" t="n">
        <f aca="false">SUM(F6:F7)</f>
        <v>83</v>
      </c>
      <c r="G8" s="28"/>
      <c r="H8" s="28"/>
    </row>
    <row r="9" customFormat="false" ht="15" hidden="false" customHeight="true" outlineLevel="0" collapsed="false">
      <c r="A9" s="12"/>
      <c r="B9" s="11" t="s">
        <v>576</v>
      </c>
      <c r="C9" s="15"/>
      <c r="D9" s="15"/>
      <c r="E9" s="15"/>
      <c r="F9" s="15"/>
      <c r="G9" s="15"/>
      <c r="H9" s="15"/>
    </row>
    <row r="10" customFormat="false" ht="15" hidden="false" customHeight="true" outlineLevel="0" collapsed="false">
      <c r="A10" s="17" t="s">
        <v>577</v>
      </c>
      <c r="B10" s="14" t="s">
        <v>578</v>
      </c>
      <c r="C10" s="25" t="n">
        <v>20</v>
      </c>
      <c r="D10" s="25" t="n">
        <v>30</v>
      </c>
      <c r="E10" s="25" t="n">
        <v>46</v>
      </c>
      <c r="F10" s="26" t="n">
        <f aca="false">ROUND((C10+4*D10+E10)/6,0)</f>
        <v>31</v>
      </c>
      <c r="G10" s="27" t="n">
        <f aca="false">ROUND((E10-C10)/6,1)</f>
        <v>4.3</v>
      </c>
      <c r="H10" s="19" t="s">
        <v>579</v>
      </c>
    </row>
    <row r="11" customFormat="false" ht="15" hidden="false" customHeight="true" outlineLevel="0" collapsed="false">
      <c r="A11" s="17" t="s">
        <v>580</v>
      </c>
      <c r="B11" s="14" t="s">
        <v>581</v>
      </c>
      <c r="C11" s="25" t="n">
        <v>16</v>
      </c>
      <c r="D11" s="25" t="n">
        <v>24</v>
      </c>
      <c r="E11" s="25" t="n">
        <v>38</v>
      </c>
      <c r="F11" s="26" t="n">
        <f aca="false">ROUND((C11+4*D11+E11)/6,0)</f>
        <v>25</v>
      </c>
      <c r="G11" s="27" t="n">
        <f aca="false">ROUND((E11-C11)/6,1)</f>
        <v>3.7</v>
      </c>
      <c r="H11" s="19" t="s">
        <v>582</v>
      </c>
    </row>
    <row r="12" customFormat="false" ht="15" hidden="false" customHeight="true" outlineLevel="0" collapsed="false">
      <c r="A12" s="17" t="s">
        <v>583</v>
      </c>
      <c r="B12" s="14" t="s">
        <v>584</v>
      </c>
      <c r="C12" s="25" t="n">
        <v>22</v>
      </c>
      <c r="D12" s="25" t="n">
        <v>34</v>
      </c>
      <c r="E12" s="25" t="n">
        <v>52</v>
      </c>
      <c r="F12" s="26" t="n">
        <f aca="false">ROUND((C12+4*D12+E12)/6,0)</f>
        <v>35</v>
      </c>
      <c r="G12" s="27" t="n">
        <f aca="false">ROUND((E12-C12)/6,1)</f>
        <v>5</v>
      </c>
      <c r="H12" s="19" t="s">
        <v>585</v>
      </c>
    </row>
    <row r="13" customFormat="false" ht="15" hidden="false" customHeight="true" outlineLevel="0" collapsed="false">
      <c r="A13" s="17" t="s">
        <v>586</v>
      </c>
      <c r="B13" s="14" t="s">
        <v>587</v>
      </c>
      <c r="C13" s="25" t="n">
        <v>24</v>
      </c>
      <c r="D13" s="25" t="n">
        <v>36</v>
      </c>
      <c r="E13" s="25" t="n">
        <v>55</v>
      </c>
      <c r="F13" s="26" t="n">
        <f aca="false">ROUND((C13+4*D13+E13)/6,0)</f>
        <v>37</v>
      </c>
      <c r="G13" s="27" t="n">
        <f aca="false">ROUND((E13-C13)/6,1)</f>
        <v>5.2</v>
      </c>
      <c r="H13" s="19" t="s">
        <v>588</v>
      </c>
    </row>
    <row r="14" customFormat="false" ht="15" hidden="false" customHeight="true" outlineLevel="0" collapsed="false">
      <c r="A14" s="17" t="s">
        <v>589</v>
      </c>
      <c r="B14" s="14" t="s">
        <v>590</v>
      </c>
      <c r="C14" s="25" t="n">
        <v>20</v>
      </c>
      <c r="D14" s="25" t="n">
        <v>30</v>
      </c>
      <c r="E14" s="25" t="n">
        <v>48</v>
      </c>
      <c r="F14" s="26" t="n">
        <f aca="false">ROUND((C14+4*D14+E14)/6,0)</f>
        <v>31</v>
      </c>
      <c r="G14" s="27" t="n">
        <f aca="false">ROUND((E14-C14)/6,1)</f>
        <v>4.7</v>
      </c>
      <c r="H14" s="19" t="s">
        <v>591</v>
      </c>
    </row>
    <row r="15" customFormat="false" ht="15" hidden="false" customHeight="true" outlineLevel="0" collapsed="false">
      <c r="A15" s="17" t="s">
        <v>592</v>
      </c>
      <c r="B15" s="14" t="s">
        <v>593</v>
      </c>
      <c r="C15" s="25" t="n">
        <v>26</v>
      </c>
      <c r="D15" s="25" t="n">
        <v>38</v>
      </c>
      <c r="E15" s="25" t="n">
        <v>58</v>
      </c>
      <c r="F15" s="26" t="n">
        <f aca="false">ROUND((C15+4*D15+E15)/6,0)</f>
        <v>39</v>
      </c>
      <c r="G15" s="27" t="n">
        <f aca="false">ROUND((E15-C15)/6,1)</f>
        <v>5.3</v>
      </c>
      <c r="H15" s="19" t="s">
        <v>594</v>
      </c>
    </row>
    <row r="16" customFormat="false" ht="15" hidden="false" customHeight="true" outlineLevel="0" collapsed="false">
      <c r="A16" s="17" t="s">
        <v>595</v>
      </c>
      <c r="B16" s="14" t="s">
        <v>596</v>
      </c>
      <c r="C16" s="25" t="n">
        <v>14</v>
      </c>
      <c r="D16" s="25" t="n">
        <v>22</v>
      </c>
      <c r="E16" s="25" t="n">
        <v>34</v>
      </c>
      <c r="F16" s="26" t="n">
        <f aca="false">ROUND((C16+4*D16+E16)/6,0)</f>
        <v>23</v>
      </c>
      <c r="G16" s="27" t="n">
        <f aca="false">ROUND((E16-C16)/6,1)</f>
        <v>3.3</v>
      </c>
      <c r="H16" s="19" t="s">
        <v>597</v>
      </c>
    </row>
    <row r="17" customFormat="false" ht="15" hidden="false" customHeight="true" outlineLevel="0" collapsed="false">
      <c r="A17" s="17" t="s">
        <v>598</v>
      </c>
      <c r="B17" s="14" t="s">
        <v>599</v>
      </c>
      <c r="C17" s="25" t="n">
        <v>20</v>
      </c>
      <c r="D17" s="25" t="n">
        <v>30</v>
      </c>
      <c r="E17" s="25" t="n">
        <v>46</v>
      </c>
      <c r="F17" s="26" t="n">
        <f aca="false">ROUND((C17+4*D17+E17)/6,0)</f>
        <v>31</v>
      </c>
      <c r="G17" s="27" t="n">
        <f aca="false">ROUND((E17-C17)/6,1)</f>
        <v>4.3</v>
      </c>
      <c r="H17" s="19" t="s">
        <v>600</v>
      </c>
    </row>
    <row r="18" customFormat="false" ht="15" hidden="false" customHeight="true" outlineLevel="0" collapsed="false">
      <c r="A18" s="28"/>
      <c r="B18" s="29" t="s">
        <v>601</v>
      </c>
      <c r="C18" s="30" t="n">
        <f aca="false">SUM(C10:C17)</f>
        <v>162</v>
      </c>
      <c r="D18" s="30" t="n">
        <f aca="false">SUM(D10:D17)</f>
        <v>244</v>
      </c>
      <c r="E18" s="30" t="n">
        <f aca="false">SUM(E10:E17)</f>
        <v>377</v>
      </c>
      <c r="F18" s="30" t="n">
        <f aca="false">SUM(F10:F17)</f>
        <v>252</v>
      </c>
      <c r="G18" s="28"/>
      <c r="H18" s="28"/>
    </row>
    <row r="19" customFormat="false" ht="15" hidden="false" customHeight="true" outlineLevel="0" collapsed="false">
      <c r="A19" s="12"/>
      <c r="B19" s="11" t="s">
        <v>602</v>
      </c>
      <c r="C19" s="15"/>
      <c r="D19" s="15"/>
      <c r="E19" s="15"/>
      <c r="F19" s="15"/>
      <c r="G19" s="15"/>
      <c r="H19" s="15"/>
    </row>
    <row r="20" customFormat="false" ht="15" hidden="false" customHeight="true" outlineLevel="0" collapsed="false">
      <c r="A20" s="17" t="s">
        <v>603</v>
      </c>
      <c r="B20" s="14" t="s">
        <v>604</v>
      </c>
      <c r="C20" s="25" t="n">
        <v>22</v>
      </c>
      <c r="D20" s="25" t="n">
        <v>32</v>
      </c>
      <c r="E20" s="25" t="n">
        <v>50</v>
      </c>
      <c r="F20" s="26" t="n">
        <f aca="false">ROUND((C20+4*D20+E20)/6,0)</f>
        <v>33</v>
      </c>
      <c r="G20" s="27" t="n">
        <f aca="false">ROUND((E20-C20)/6,1)</f>
        <v>4.7</v>
      </c>
      <c r="H20" s="19" t="s">
        <v>605</v>
      </c>
    </row>
    <row r="21" customFormat="false" ht="15" hidden="false" customHeight="true" outlineLevel="0" collapsed="false">
      <c r="A21" s="17" t="s">
        <v>606</v>
      </c>
      <c r="B21" s="14" t="s">
        <v>607</v>
      </c>
      <c r="C21" s="25" t="n">
        <v>26</v>
      </c>
      <c r="D21" s="25" t="n">
        <v>38</v>
      </c>
      <c r="E21" s="25" t="n">
        <v>58</v>
      </c>
      <c r="F21" s="26" t="n">
        <f aca="false">ROUND((C21+4*D21+E21)/6,0)</f>
        <v>39</v>
      </c>
      <c r="G21" s="27" t="n">
        <f aca="false">ROUND((E21-C21)/6,1)</f>
        <v>5.3</v>
      </c>
      <c r="H21" s="19" t="s">
        <v>608</v>
      </c>
    </row>
    <row r="22" customFormat="false" ht="15" hidden="false" customHeight="true" outlineLevel="0" collapsed="false">
      <c r="A22" s="17" t="s">
        <v>609</v>
      </c>
      <c r="B22" s="14" t="s">
        <v>610</v>
      </c>
      <c r="C22" s="25" t="n">
        <v>20</v>
      </c>
      <c r="D22" s="25" t="n">
        <v>30</v>
      </c>
      <c r="E22" s="25" t="n">
        <v>46</v>
      </c>
      <c r="F22" s="26" t="n">
        <f aca="false">ROUND((C22+4*D22+E22)/6,0)</f>
        <v>31</v>
      </c>
      <c r="G22" s="27" t="n">
        <f aca="false">ROUND((E22-C22)/6,1)</f>
        <v>4.3</v>
      </c>
      <c r="H22" s="19" t="s">
        <v>611</v>
      </c>
    </row>
    <row r="23" customFormat="false" ht="15" hidden="false" customHeight="true" outlineLevel="0" collapsed="false">
      <c r="A23" s="28"/>
      <c r="B23" s="29" t="s">
        <v>612</v>
      </c>
      <c r="C23" s="30" t="n">
        <f aca="false">SUM(C20:C22)</f>
        <v>68</v>
      </c>
      <c r="D23" s="30" t="n">
        <f aca="false">SUM(D20:D22)</f>
        <v>100</v>
      </c>
      <c r="E23" s="30" t="n">
        <f aca="false">SUM(E20:E22)</f>
        <v>154</v>
      </c>
      <c r="F23" s="30" t="n">
        <f aca="false">SUM(F20:F22)</f>
        <v>103</v>
      </c>
      <c r="G23" s="28"/>
      <c r="H23" s="28"/>
    </row>
    <row r="24" customFormat="false" ht="15" hidden="false" customHeight="true" outlineLevel="0" collapsed="false">
      <c r="A24" s="12"/>
      <c r="B24" s="11" t="s">
        <v>613</v>
      </c>
      <c r="C24" s="15"/>
      <c r="D24" s="15"/>
      <c r="E24" s="15"/>
      <c r="F24" s="15"/>
      <c r="G24" s="15"/>
      <c r="H24" s="15"/>
    </row>
    <row r="25" customFormat="false" ht="15" hidden="false" customHeight="true" outlineLevel="0" collapsed="false">
      <c r="A25" s="17" t="s">
        <v>99</v>
      </c>
      <c r="B25" s="14" t="s">
        <v>614</v>
      </c>
      <c r="C25" s="25" t="n">
        <v>14</v>
      </c>
      <c r="D25" s="25" t="n">
        <v>22</v>
      </c>
      <c r="E25" s="25" t="n">
        <v>34</v>
      </c>
      <c r="F25" s="26" t="n">
        <f aca="false">ROUND((C25+4*D25+E25)/6,0)</f>
        <v>23</v>
      </c>
      <c r="G25" s="27" t="n">
        <f aca="false">ROUND((E25-C25)/6,1)</f>
        <v>3.3</v>
      </c>
      <c r="H25" s="19"/>
    </row>
    <row r="26" customFormat="false" ht="15" hidden="false" customHeight="true" outlineLevel="0" collapsed="false">
      <c r="A26" s="17" t="s">
        <v>103</v>
      </c>
      <c r="B26" s="14" t="s">
        <v>615</v>
      </c>
      <c r="C26" s="25" t="n">
        <v>18</v>
      </c>
      <c r="D26" s="25" t="n">
        <v>26</v>
      </c>
      <c r="E26" s="25" t="n">
        <v>40</v>
      </c>
      <c r="F26" s="26" t="n">
        <f aca="false">ROUND((C26+4*D26+E26)/6,0)</f>
        <v>27</v>
      </c>
      <c r="G26" s="27" t="n">
        <f aca="false">ROUND((E26-C26)/6,1)</f>
        <v>3.7</v>
      </c>
      <c r="H26" s="19"/>
    </row>
    <row r="27" customFormat="false" ht="15" hidden="false" customHeight="true" outlineLevel="0" collapsed="false">
      <c r="A27" s="17" t="s">
        <v>107</v>
      </c>
      <c r="B27" s="14" t="s">
        <v>616</v>
      </c>
      <c r="C27" s="25" t="n">
        <v>20</v>
      </c>
      <c r="D27" s="25" t="n">
        <v>30</v>
      </c>
      <c r="E27" s="25" t="n">
        <v>46</v>
      </c>
      <c r="F27" s="26" t="n">
        <f aca="false">ROUND((C27+4*D27+E27)/6,0)</f>
        <v>31</v>
      </c>
      <c r="G27" s="27" t="n">
        <f aca="false">ROUND((E27-C27)/6,1)</f>
        <v>4.3</v>
      </c>
      <c r="H27" s="19" t="s">
        <v>617</v>
      </c>
    </row>
    <row r="28" customFormat="false" ht="15" hidden="false" customHeight="true" outlineLevel="0" collapsed="false">
      <c r="A28" s="17" t="s">
        <v>618</v>
      </c>
      <c r="B28" s="14" t="s">
        <v>619</v>
      </c>
      <c r="C28" s="25" t="n">
        <v>22</v>
      </c>
      <c r="D28" s="25" t="n">
        <v>32</v>
      </c>
      <c r="E28" s="25" t="n">
        <v>50</v>
      </c>
      <c r="F28" s="26" t="n">
        <f aca="false">ROUND((C28+4*D28+E28)/6,0)</f>
        <v>33</v>
      </c>
      <c r="G28" s="27" t="n">
        <f aca="false">ROUND((E28-C28)/6,1)</f>
        <v>4.7</v>
      </c>
      <c r="H28" s="19" t="s">
        <v>620</v>
      </c>
    </row>
    <row r="29" customFormat="false" ht="15" hidden="false" customHeight="true" outlineLevel="0" collapsed="false">
      <c r="A29" s="17" t="s">
        <v>621</v>
      </c>
      <c r="B29" s="14" t="s">
        <v>622</v>
      </c>
      <c r="C29" s="25" t="n">
        <v>24</v>
      </c>
      <c r="D29" s="25" t="n">
        <v>36</v>
      </c>
      <c r="E29" s="25" t="n">
        <v>55</v>
      </c>
      <c r="F29" s="26" t="n">
        <f aca="false">ROUND((C29+4*D29+E29)/6,0)</f>
        <v>37</v>
      </c>
      <c r="G29" s="27" t="n">
        <f aca="false">ROUND((E29-C29)/6,1)</f>
        <v>5.2</v>
      </c>
      <c r="H29" s="19" t="s">
        <v>623</v>
      </c>
    </row>
    <row r="30" customFormat="false" ht="15" hidden="false" customHeight="true" outlineLevel="0" collapsed="false">
      <c r="A30" s="17" t="s">
        <v>624</v>
      </c>
      <c r="B30" s="14" t="s">
        <v>625</v>
      </c>
      <c r="C30" s="25" t="n">
        <v>12</v>
      </c>
      <c r="D30" s="25" t="n">
        <v>18</v>
      </c>
      <c r="E30" s="25" t="n">
        <v>28</v>
      </c>
      <c r="F30" s="26" t="n">
        <f aca="false">ROUND((C30+4*D30+E30)/6,0)</f>
        <v>19</v>
      </c>
      <c r="G30" s="27" t="n">
        <f aca="false">ROUND((E30-C30)/6,1)</f>
        <v>2.7</v>
      </c>
      <c r="H30" s="19" t="s">
        <v>626</v>
      </c>
    </row>
    <row r="31" customFormat="false" ht="15" hidden="false" customHeight="true" outlineLevel="0" collapsed="false">
      <c r="A31" s="28"/>
      <c r="B31" s="29" t="s">
        <v>627</v>
      </c>
      <c r="C31" s="30" t="n">
        <f aca="false">SUM(C25:C30)</f>
        <v>110</v>
      </c>
      <c r="D31" s="30" t="n">
        <f aca="false">SUM(D25:D30)</f>
        <v>164</v>
      </c>
      <c r="E31" s="30" t="n">
        <f aca="false">SUM(E25:E30)</f>
        <v>253</v>
      </c>
      <c r="F31" s="30" t="n">
        <f aca="false">SUM(F25:F30)</f>
        <v>170</v>
      </c>
      <c r="G31" s="28"/>
      <c r="H31" s="28"/>
    </row>
    <row r="32" customFormat="false" ht="15" hidden="false" customHeight="true" outlineLevel="0" collapsed="false">
      <c r="A32" s="12"/>
      <c r="B32" s="11" t="s">
        <v>628</v>
      </c>
      <c r="C32" s="15"/>
      <c r="D32" s="15"/>
      <c r="E32" s="15"/>
      <c r="F32" s="15"/>
      <c r="G32" s="15"/>
      <c r="H32" s="15"/>
    </row>
    <row r="33" customFormat="false" ht="15" hidden="false" customHeight="true" outlineLevel="0" collapsed="false">
      <c r="A33" s="17" t="s">
        <v>629</v>
      </c>
      <c r="B33" s="14" t="s">
        <v>630</v>
      </c>
      <c r="C33" s="25" t="n">
        <v>24</v>
      </c>
      <c r="D33" s="25" t="n">
        <v>36</v>
      </c>
      <c r="E33" s="25" t="n">
        <v>55</v>
      </c>
      <c r="F33" s="26" t="n">
        <f aca="false">ROUND((C33+4*D33+E33)/6,0)</f>
        <v>37</v>
      </c>
      <c r="G33" s="27" t="n">
        <f aca="false">ROUND((E33-C33)/6,1)</f>
        <v>5.2</v>
      </c>
      <c r="H33" s="19" t="s">
        <v>631</v>
      </c>
    </row>
    <row r="34" customFormat="false" ht="15" hidden="false" customHeight="true" outlineLevel="0" collapsed="false">
      <c r="A34" s="17" t="s">
        <v>632</v>
      </c>
      <c r="B34" s="14" t="s">
        <v>633</v>
      </c>
      <c r="C34" s="25" t="n">
        <v>16</v>
      </c>
      <c r="D34" s="25" t="n">
        <v>24</v>
      </c>
      <c r="E34" s="25" t="n">
        <v>38</v>
      </c>
      <c r="F34" s="26" t="n">
        <f aca="false">ROUND((C34+4*D34+E34)/6,0)</f>
        <v>25</v>
      </c>
      <c r="G34" s="27" t="n">
        <f aca="false">ROUND((E34-C34)/6,1)</f>
        <v>3.7</v>
      </c>
      <c r="H34" s="19" t="s">
        <v>634</v>
      </c>
    </row>
    <row r="35" customFormat="false" ht="15" hidden="false" customHeight="true" outlineLevel="0" collapsed="false">
      <c r="A35" s="17" t="s">
        <v>635</v>
      </c>
      <c r="B35" s="14" t="s">
        <v>636</v>
      </c>
      <c r="C35" s="25" t="n">
        <v>16</v>
      </c>
      <c r="D35" s="25" t="n">
        <v>24</v>
      </c>
      <c r="E35" s="25" t="n">
        <v>38</v>
      </c>
      <c r="F35" s="26" t="n">
        <f aca="false">ROUND((C35+4*D35+E35)/6,0)</f>
        <v>25</v>
      </c>
      <c r="G35" s="27" t="n">
        <f aca="false">ROUND((E35-C35)/6,1)</f>
        <v>3.7</v>
      </c>
      <c r="H35" s="19" t="s">
        <v>637</v>
      </c>
    </row>
    <row r="36" customFormat="false" ht="15" hidden="false" customHeight="true" outlineLevel="0" collapsed="false">
      <c r="A36" s="17" t="s">
        <v>638</v>
      </c>
      <c r="B36" s="14" t="s">
        <v>639</v>
      </c>
      <c r="C36" s="25" t="n">
        <v>14</v>
      </c>
      <c r="D36" s="25" t="n">
        <v>20</v>
      </c>
      <c r="E36" s="25" t="n">
        <v>32</v>
      </c>
      <c r="F36" s="26" t="n">
        <f aca="false">ROUND((C36+4*D36+E36)/6,0)</f>
        <v>21</v>
      </c>
      <c r="G36" s="27" t="n">
        <f aca="false">ROUND((E36-C36)/6,1)</f>
        <v>3</v>
      </c>
      <c r="H36" s="19" t="s">
        <v>640</v>
      </c>
    </row>
    <row r="37" customFormat="false" ht="15" hidden="false" customHeight="true" outlineLevel="0" collapsed="false">
      <c r="A37" s="17" t="s">
        <v>641</v>
      </c>
      <c r="B37" s="14" t="s">
        <v>642</v>
      </c>
      <c r="C37" s="25" t="n">
        <v>10</v>
      </c>
      <c r="D37" s="25" t="n">
        <v>15</v>
      </c>
      <c r="E37" s="25" t="n">
        <v>24</v>
      </c>
      <c r="F37" s="26" t="n">
        <f aca="false">ROUND((C37+4*D37+E37)/6,0)</f>
        <v>16</v>
      </c>
      <c r="G37" s="27" t="n">
        <f aca="false">ROUND((E37-C37)/6,1)</f>
        <v>2.3</v>
      </c>
      <c r="H37" s="19" t="s">
        <v>643</v>
      </c>
    </row>
    <row r="38" customFormat="false" ht="15" hidden="false" customHeight="true" outlineLevel="0" collapsed="false">
      <c r="A38" s="17" t="s">
        <v>644</v>
      </c>
      <c r="B38" s="14" t="s">
        <v>645</v>
      </c>
      <c r="C38" s="25" t="n">
        <v>18</v>
      </c>
      <c r="D38" s="25" t="n">
        <v>26</v>
      </c>
      <c r="E38" s="25" t="n">
        <v>40</v>
      </c>
      <c r="F38" s="26" t="n">
        <f aca="false">ROUND((C38+4*D38+E38)/6,0)</f>
        <v>27</v>
      </c>
      <c r="G38" s="27" t="n">
        <f aca="false">ROUND((E38-C38)/6,1)</f>
        <v>3.7</v>
      </c>
      <c r="H38" s="19" t="s">
        <v>646</v>
      </c>
    </row>
    <row r="39" customFormat="false" ht="15" hidden="false" customHeight="true" outlineLevel="0" collapsed="false">
      <c r="A39" s="28"/>
      <c r="B39" s="29" t="s">
        <v>647</v>
      </c>
      <c r="C39" s="30" t="n">
        <f aca="false">SUM(C33:C38)</f>
        <v>98</v>
      </c>
      <c r="D39" s="30" t="n">
        <f aca="false">SUM(D33:D38)</f>
        <v>145</v>
      </c>
      <c r="E39" s="30" t="n">
        <f aca="false">SUM(E33:E38)</f>
        <v>227</v>
      </c>
      <c r="F39" s="30" t="n">
        <f aca="false">SUM(F33:F38)</f>
        <v>151</v>
      </c>
      <c r="G39" s="28"/>
      <c r="H39" s="28"/>
    </row>
    <row r="40" customFormat="false" ht="15" hidden="false" customHeight="true" outlineLevel="0" collapsed="false">
      <c r="A40" s="12"/>
      <c r="B40" s="11" t="s">
        <v>648</v>
      </c>
      <c r="C40" s="15"/>
      <c r="D40" s="15"/>
      <c r="E40" s="15"/>
      <c r="F40" s="15"/>
      <c r="G40" s="15"/>
      <c r="H40" s="15"/>
    </row>
    <row r="41" customFormat="false" ht="15" hidden="false" customHeight="true" outlineLevel="0" collapsed="false">
      <c r="A41" s="17" t="s">
        <v>649</v>
      </c>
      <c r="B41" s="14" t="s">
        <v>650</v>
      </c>
      <c r="C41" s="25" t="n">
        <v>30</v>
      </c>
      <c r="D41" s="25" t="n">
        <v>45</v>
      </c>
      <c r="E41" s="25" t="n">
        <v>70</v>
      </c>
      <c r="F41" s="26" t="n">
        <f aca="false">ROUND((C41+4*D41+E41)/6,0)</f>
        <v>47</v>
      </c>
      <c r="G41" s="27" t="n">
        <f aca="false">ROUND((E41-C41)/6,1)</f>
        <v>6.7</v>
      </c>
      <c r="H41" s="19" t="s">
        <v>651</v>
      </c>
    </row>
    <row r="42" customFormat="false" ht="15" hidden="false" customHeight="true" outlineLevel="0" collapsed="false">
      <c r="A42" s="17" t="s">
        <v>652</v>
      </c>
      <c r="B42" s="14" t="s">
        <v>653</v>
      </c>
      <c r="C42" s="25" t="n">
        <v>24</v>
      </c>
      <c r="D42" s="25" t="n">
        <v>36</v>
      </c>
      <c r="E42" s="25" t="n">
        <v>55</v>
      </c>
      <c r="F42" s="26" t="n">
        <f aca="false">ROUND((C42+4*D42+E42)/6,0)</f>
        <v>37</v>
      </c>
      <c r="G42" s="27" t="n">
        <f aca="false">ROUND((E42-C42)/6,1)</f>
        <v>5.2</v>
      </c>
      <c r="H42" s="19"/>
    </row>
    <row r="43" customFormat="false" ht="15" hidden="false" customHeight="true" outlineLevel="0" collapsed="false">
      <c r="A43" s="17" t="s">
        <v>654</v>
      </c>
      <c r="B43" s="14" t="s">
        <v>655</v>
      </c>
      <c r="C43" s="25" t="n">
        <v>14</v>
      </c>
      <c r="D43" s="25" t="n">
        <v>22</v>
      </c>
      <c r="E43" s="25" t="n">
        <v>34</v>
      </c>
      <c r="F43" s="26" t="n">
        <f aca="false">ROUND((C43+4*D43+E43)/6,0)</f>
        <v>23</v>
      </c>
      <c r="G43" s="27" t="n">
        <f aca="false">ROUND((E43-C43)/6,1)</f>
        <v>3.3</v>
      </c>
      <c r="H43" s="19" t="s">
        <v>656</v>
      </c>
    </row>
    <row r="44" customFormat="false" ht="15" hidden="false" customHeight="true" outlineLevel="0" collapsed="false">
      <c r="A44" s="17" t="s">
        <v>657</v>
      </c>
      <c r="B44" s="14" t="s">
        <v>658</v>
      </c>
      <c r="C44" s="25" t="n">
        <v>26</v>
      </c>
      <c r="D44" s="25" t="n">
        <v>40</v>
      </c>
      <c r="E44" s="25" t="n">
        <v>62</v>
      </c>
      <c r="F44" s="26" t="n">
        <f aca="false">ROUND((C44+4*D44+E44)/6,0)</f>
        <v>41</v>
      </c>
      <c r="G44" s="27" t="n">
        <f aca="false">ROUND((E44-C44)/6,1)</f>
        <v>6</v>
      </c>
      <c r="H44" s="19" t="s">
        <v>659</v>
      </c>
    </row>
    <row r="45" customFormat="false" ht="15" hidden="false" customHeight="true" outlineLevel="0" collapsed="false">
      <c r="A45" s="17" t="s">
        <v>660</v>
      </c>
      <c r="B45" s="14" t="s">
        <v>661</v>
      </c>
      <c r="C45" s="25" t="n">
        <v>20</v>
      </c>
      <c r="D45" s="25" t="n">
        <v>30</v>
      </c>
      <c r="E45" s="25" t="n">
        <v>46</v>
      </c>
      <c r="F45" s="26" t="n">
        <f aca="false">ROUND((C45+4*D45+E45)/6,0)</f>
        <v>31</v>
      </c>
      <c r="G45" s="27" t="n">
        <f aca="false">ROUND((E45-C45)/6,1)</f>
        <v>4.3</v>
      </c>
      <c r="H45" s="19"/>
    </row>
    <row r="46" customFormat="false" ht="15" hidden="false" customHeight="true" outlineLevel="0" collapsed="false">
      <c r="A46" s="17" t="s">
        <v>662</v>
      </c>
      <c r="B46" s="14" t="s">
        <v>663</v>
      </c>
      <c r="C46" s="25" t="n">
        <v>12</v>
      </c>
      <c r="D46" s="25" t="n">
        <v>18</v>
      </c>
      <c r="E46" s="25" t="n">
        <v>28</v>
      </c>
      <c r="F46" s="26" t="n">
        <f aca="false">ROUND((C46+4*D46+E46)/6,0)</f>
        <v>19</v>
      </c>
      <c r="G46" s="27" t="n">
        <f aca="false">ROUND((E46-C46)/6,1)</f>
        <v>2.7</v>
      </c>
      <c r="H46" s="19"/>
    </row>
    <row r="47" customFormat="false" ht="15" hidden="false" customHeight="true" outlineLevel="0" collapsed="false">
      <c r="A47" s="28"/>
      <c r="B47" s="29" t="s">
        <v>664</v>
      </c>
      <c r="C47" s="30" t="n">
        <f aca="false">SUM(C41:C46)</f>
        <v>126</v>
      </c>
      <c r="D47" s="30" t="n">
        <f aca="false">SUM(D41:D46)</f>
        <v>191</v>
      </c>
      <c r="E47" s="30" t="n">
        <f aca="false">SUM(E41:E46)</f>
        <v>295</v>
      </c>
      <c r="F47" s="30" t="n">
        <f aca="false">SUM(F41:F46)</f>
        <v>198</v>
      </c>
      <c r="G47" s="28"/>
      <c r="H47" s="28"/>
    </row>
    <row r="48" customFormat="false" ht="15" hidden="false" customHeight="true" outlineLevel="0" collapsed="false">
      <c r="A48" s="12"/>
      <c r="B48" s="11" t="s">
        <v>665</v>
      </c>
      <c r="C48" s="15"/>
      <c r="D48" s="15"/>
      <c r="E48" s="15"/>
      <c r="F48" s="15"/>
      <c r="G48" s="15"/>
      <c r="H48" s="15"/>
    </row>
    <row r="49" customFormat="false" ht="15" hidden="false" customHeight="true" outlineLevel="0" collapsed="false">
      <c r="A49" s="17" t="s">
        <v>666</v>
      </c>
      <c r="B49" s="14" t="s">
        <v>667</v>
      </c>
      <c r="C49" s="25" t="n">
        <v>24</v>
      </c>
      <c r="D49" s="25" t="n">
        <v>36</v>
      </c>
      <c r="E49" s="25" t="n">
        <v>55</v>
      </c>
      <c r="F49" s="26" t="n">
        <f aca="false">ROUND((C49+4*D49+E49)/6,0)</f>
        <v>37</v>
      </c>
      <c r="G49" s="27" t="n">
        <f aca="false">ROUND((E49-C49)/6,1)</f>
        <v>5.2</v>
      </c>
      <c r="H49" s="19"/>
    </row>
    <row r="50" customFormat="false" ht="15" hidden="false" customHeight="true" outlineLevel="0" collapsed="false">
      <c r="A50" s="17" t="s">
        <v>668</v>
      </c>
      <c r="B50" s="14" t="s">
        <v>669</v>
      </c>
      <c r="C50" s="25" t="n">
        <v>18</v>
      </c>
      <c r="D50" s="25" t="n">
        <v>26</v>
      </c>
      <c r="E50" s="25" t="n">
        <v>40</v>
      </c>
      <c r="F50" s="26" t="n">
        <f aca="false">ROUND((C50+4*D50+E50)/6,0)</f>
        <v>27</v>
      </c>
      <c r="G50" s="27" t="n">
        <f aca="false">ROUND((E50-C50)/6,1)</f>
        <v>3.7</v>
      </c>
      <c r="H50" s="19"/>
    </row>
    <row r="51" customFormat="false" ht="15" hidden="false" customHeight="true" outlineLevel="0" collapsed="false">
      <c r="A51" s="28"/>
      <c r="B51" s="29" t="s">
        <v>670</v>
      </c>
      <c r="C51" s="30" t="n">
        <f aca="false">SUM(C49:C50)</f>
        <v>42</v>
      </c>
      <c r="D51" s="30" t="n">
        <f aca="false">SUM(D49:D50)</f>
        <v>62</v>
      </c>
      <c r="E51" s="30" t="n">
        <f aca="false">SUM(E49:E50)</f>
        <v>95</v>
      </c>
      <c r="F51" s="30" t="n">
        <f aca="false">SUM(F49:F50)</f>
        <v>64</v>
      </c>
      <c r="G51" s="28"/>
      <c r="H51" s="28"/>
    </row>
    <row r="52" customFormat="false" ht="15" hidden="false" customHeight="true" outlineLevel="0" collapsed="false">
      <c r="A52" s="12"/>
      <c r="B52" s="11" t="s">
        <v>671</v>
      </c>
      <c r="C52" s="15"/>
      <c r="D52" s="15"/>
      <c r="E52" s="15"/>
      <c r="F52" s="15"/>
      <c r="G52" s="15"/>
      <c r="H52" s="15"/>
    </row>
    <row r="53" customFormat="false" ht="15" hidden="false" customHeight="true" outlineLevel="0" collapsed="false">
      <c r="A53" s="17" t="s">
        <v>672</v>
      </c>
      <c r="B53" s="14" t="s">
        <v>673</v>
      </c>
      <c r="C53" s="25" t="n">
        <v>16</v>
      </c>
      <c r="D53" s="25" t="n">
        <v>24</v>
      </c>
      <c r="E53" s="25" t="n">
        <v>38</v>
      </c>
      <c r="F53" s="26" t="n">
        <f aca="false">ROUND((C53+4*D53+E53)/6,0)</f>
        <v>25</v>
      </c>
      <c r="G53" s="27" t="n">
        <f aca="false">ROUND((E53-C53)/6,1)</f>
        <v>3.7</v>
      </c>
      <c r="H53" s="19"/>
    </row>
    <row r="54" customFormat="false" ht="15" hidden="false" customHeight="true" outlineLevel="0" collapsed="false">
      <c r="A54" s="17" t="s">
        <v>674</v>
      </c>
      <c r="B54" s="14" t="s">
        <v>675</v>
      </c>
      <c r="C54" s="25" t="n">
        <v>40</v>
      </c>
      <c r="D54" s="25" t="n">
        <v>60</v>
      </c>
      <c r="E54" s="25" t="n">
        <v>92</v>
      </c>
      <c r="F54" s="26" t="n">
        <f aca="false">ROUND((C54+4*D54+E54)/6,0)</f>
        <v>62</v>
      </c>
      <c r="G54" s="27" t="n">
        <f aca="false">ROUND((E54-C54)/6,1)</f>
        <v>8.7</v>
      </c>
      <c r="H54" s="19"/>
    </row>
    <row r="55" customFormat="false" ht="15" hidden="false" customHeight="true" outlineLevel="0" collapsed="false">
      <c r="A55" s="17" t="s">
        <v>676</v>
      </c>
      <c r="B55" s="14" t="s">
        <v>677</v>
      </c>
      <c r="C55" s="25" t="n">
        <v>30</v>
      </c>
      <c r="D55" s="25" t="n">
        <v>45</v>
      </c>
      <c r="E55" s="25" t="n">
        <v>68</v>
      </c>
      <c r="F55" s="26" t="n">
        <f aca="false">ROUND((C55+4*D55+E55)/6,0)</f>
        <v>46</v>
      </c>
      <c r="G55" s="27" t="n">
        <f aca="false">ROUND((E55-C55)/6,1)</f>
        <v>6.3</v>
      </c>
      <c r="H55" s="19"/>
    </row>
    <row r="56" customFormat="false" ht="15" hidden="false" customHeight="true" outlineLevel="0" collapsed="false">
      <c r="A56" s="17" t="s">
        <v>678</v>
      </c>
      <c r="B56" s="14" t="s">
        <v>679</v>
      </c>
      <c r="C56" s="25" t="n">
        <v>12</v>
      </c>
      <c r="D56" s="25" t="n">
        <v>18</v>
      </c>
      <c r="E56" s="25" t="n">
        <v>28</v>
      </c>
      <c r="F56" s="26" t="n">
        <f aca="false">ROUND((C56+4*D56+E56)/6,0)</f>
        <v>19</v>
      </c>
      <c r="G56" s="27" t="n">
        <f aca="false">ROUND((E56-C56)/6,1)</f>
        <v>2.7</v>
      </c>
      <c r="H56" s="19"/>
    </row>
    <row r="57" customFormat="false" ht="15" hidden="false" customHeight="true" outlineLevel="0" collapsed="false">
      <c r="A57" s="17" t="s">
        <v>680</v>
      </c>
      <c r="B57" s="14" t="s">
        <v>681</v>
      </c>
      <c r="C57" s="25" t="n">
        <v>14</v>
      </c>
      <c r="D57" s="25" t="n">
        <v>20</v>
      </c>
      <c r="E57" s="25" t="n">
        <v>32</v>
      </c>
      <c r="F57" s="26" t="n">
        <f aca="false">ROUND((C57+4*D57+E57)/6,0)</f>
        <v>21</v>
      </c>
      <c r="G57" s="27" t="n">
        <f aca="false">ROUND((E57-C57)/6,1)</f>
        <v>3</v>
      </c>
      <c r="H57" s="19"/>
    </row>
    <row r="58" customFormat="false" ht="15" hidden="false" customHeight="true" outlineLevel="0" collapsed="false">
      <c r="A58" s="17" t="s">
        <v>682</v>
      </c>
      <c r="B58" s="14" t="s">
        <v>683</v>
      </c>
      <c r="C58" s="25" t="n">
        <v>16</v>
      </c>
      <c r="D58" s="25" t="n">
        <v>24</v>
      </c>
      <c r="E58" s="25" t="n">
        <v>38</v>
      </c>
      <c r="F58" s="26" t="n">
        <f aca="false">ROUND((C58+4*D58+E58)/6,0)</f>
        <v>25</v>
      </c>
      <c r="G58" s="27" t="n">
        <f aca="false">ROUND((E58-C58)/6,1)</f>
        <v>3.7</v>
      </c>
      <c r="H58" s="19"/>
    </row>
    <row r="59" customFormat="false" ht="15" hidden="false" customHeight="true" outlineLevel="0" collapsed="false">
      <c r="A59" s="28"/>
      <c r="B59" s="29" t="s">
        <v>684</v>
      </c>
      <c r="C59" s="30" t="n">
        <f aca="false">SUM(C53:C58)</f>
        <v>128</v>
      </c>
      <c r="D59" s="30" t="n">
        <f aca="false">SUM(D53:D58)</f>
        <v>191</v>
      </c>
      <c r="E59" s="30" t="n">
        <f aca="false">SUM(E53:E58)</f>
        <v>296</v>
      </c>
      <c r="F59" s="30" t="n">
        <f aca="false">SUM(F53:F58)</f>
        <v>198</v>
      </c>
      <c r="G59" s="28"/>
      <c r="H59" s="28"/>
    </row>
    <row r="60" customFormat="false" ht="15" hidden="false" customHeight="true" outlineLevel="0" collapsed="false">
      <c r="A60" s="12"/>
      <c r="B60" s="11" t="s">
        <v>685</v>
      </c>
      <c r="C60" s="15"/>
      <c r="D60" s="15"/>
      <c r="E60" s="15"/>
      <c r="F60" s="15"/>
      <c r="G60" s="15"/>
      <c r="H60" s="15"/>
    </row>
    <row r="61" customFormat="false" ht="15" hidden="false" customHeight="true" outlineLevel="0" collapsed="false">
      <c r="A61" s="17" t="s">
        <v>686</v>
      </c>
      <c r="B61" s="14" t="s">
        <v>687</v>
      </c>
      <c r="C61" s="25" t="n">
        <v>50</v>
      </c>
      <c r="D61" s="25" t="n">
        <v>75</v>
      </c>
      <c r="E61" s="25" t="n">
        <v>115</v>
      </c>
      <c r="F61" s="26" t="n">
        <f aca="false">ROUND((C61+4*D61+E61)/6,0)</f>
        <v>78</v>
      </c>
      <c r="G61" s="27" t="n">
        <f aca="false">ROUND((E61-C61)/6,1)</f>
        <v>10.8</v>
      </c>
      <c r="H61" s="19"/>
    </row>
    <row r="62" customFormat="false" ht="15" hidden="false" customHeight="true" outlineLevel="0" collapsed="false">
      <c r="A62" s="17" t="s">
        <v>688</v>
      </c>
      <c r="B62" s="14" t="s">
        <v>689</v>
      </c>
      <c r="C62" s="25" t="n">
        <v>16</v>
      </c>
      <c r="D62" s="25" t="n">
        <v>24</v>
      </c>
      <c r="E62" s="25" t="n">
        <v>38</v>
      </c>
      <c r="F62" s="26" t="n">
        <f aca="false">ROUND((C62+4*D62+E62)/6,0)</f>
        <v>25</v>
      </c>
      <c r="G62" s="27" t="n">
        <f aca="false">ROUND((E62-C62)/6,1)</f>
        <v>3.7</v>
      </c>
      <c r="H62" s="19"/>
    </row>
    <row r="63" customFormat="false" ht="15" hidden="false" customHeight="true" outlineLevel="0" collapsed="false">
      <c r="A63" s="17" t="s">
        <v>690</v>
      </c>
      <c r="B63" s="14" t="s">
        <v>691</v>
      </c>
      <c r="C63" s="25" t="n">
        <v>14</v>
      </c>
      <c r="D63" s="25" t="n">
        <v>22</v>
      </c>
      <c r="E63" s="25" t="n">
        <v>34</v>
      </c>
      <c r="F63" s="26" t="n">
        <f aca="false">ROUND((C63+4*D63+E63)/6,0)</f>
        <v>23</v>
      </c>
      <c r="G63" s="27" t="n">
        <f aca="false">ROUND((E63-C63)/6,1)</f>
        <v>3.3</v>
      </c>
      <c r="H63" s="19" t="s">
        <v>692</v>
      </c>
    </row>
    <row r="64" customFormat="false" ht="15" hidden="false" customHeight="true" outlineLevel="0" collapsed="false">
      <c r="A64" s="28"/>
      <c r="B64" s="29" t="s">
        <v>693</v>
      </c>
      <c r="C64" s="30" t="n">
        <f aca="false">SUM(C61:C63)</f>
        <v>80</v>
      </c>
      <c r="D64" s="30" t="n">
        <f aca="false">SUM(D61:D63)</f>
        <v>121</v>
      </c>
      <c r="E64" s="30" t="n">
        <f aca="false">SUM(E61:E63)</f>
        <v>187</v>
      </c>
      <c r="F64" s="30" t="n">
        <f aca="false">SUM(F61:F63)</f>
        <v>126</v>
      </c>
      <c r="G64" s="28"/>
      <c r="H64" s="28"/>
    </row>
    <row r="65" customFormat="false" ht="15" hidden="false" customHeight="true" outlineLevel="0" collapsed="false">
      <c r="A65" s="31"/>
      <c r="B65" s="32" t="s">
        <v>694</v>
      </c>
      <c r="C65" s="33" t="n">
        <f aca="false">C8+C18+C23+C31+C39+C47+C51+C59+C64</f>
        <v>868</v>
      </c>
      <c r="D65" s="33" t="n">
        <f aca="false">D8+D18+D23+D31+D39+D47+D51+D59+D64</f>
        <v>1299</v>
      </c>
      <c r="E65" s="33" t="n">
        <f aca="false">E8+E18+E23+E31+E39+E47+E51+E59+E64</f>
        <v>2007</v>
      </c>
      <c r="F65" s="33" t="n">
        <f aca="false">F8+F18+F23+F31+F39+F47+F51+F59+F64</f>
        <v>1345</v>
      </c>
      <c r="G65" s="31"/>
      <c r="H65" s="31"/>
    </row>
    <row r="67" customFormat="false" ht="15" hidden="false" customHeight="true" outlineLevel="0" collapsed="false">
      <c r="B67" s="11" t="s">
        <v>695</v>
      </c>
      <c r="C67" s="15"/>
      <c r="D67" s="15"/>
      <c r="E67" s="15"/>
      <c r="F67" s="15"/>
      <c r="G67" s="15"/>
      <c r="H67" s="15"/>
    </row>
    <row r="68" customFormat="false" ht="15" hidden="false" customHeight="true" outlineLevel="0" collapsed="false">
      <c r="B68" s="17" t="s">
        <v>696</v>
      </c>
      <c r="C68" s="34" t="n">
        <v>1557</v>
      </c>
      <c r="D68" s="35" t="s">
        <v>697</v>
      </c>
      <c r="H68" s="19" t="s">
        <v>698</v>
      </c>
    </row>
    <row r="69" customFormat="false" ht="15" hidden="false" customHeight="true" outlineLevel="0" collapsed="false">
      <c r="B69" s="21" t="s">
        <v>699</v>
      </c>
      <c r="C69" s="36" t="n">
        <v>1676</v>
      </c>
      <c r="D69" s="37" t="s">
        <v>697</v>
      </c>
      <c r="H69" s="22" t="s">
        <v>700</v>
      </c>
    </row>
    <row r="70" customFormat="false" ht="15" hidden="false" customHeight="true" outlineLevel="0" collapsed="false">
      <c r="B70" s="17" t="s">
        <v>701</v>
      </c>
      <c r="C70" s="34" t="n">
        <v>1737</v>
      </c>
      <c r="D70" s="35" t="s">
        <v>697</v>
      </c>
      <c r="H70" s="19" t="s">
        <v>702</v>
      </c>
    </row>
    <row r="72" customFormat="false" ht="18.75" hidden="false" customHeight="true" outlineLevel="0" collapsed="false">
      <c r="B72" s="13" t="s">
        <v>703</v>
      </c>
      <c r="C72" s="38" t="n">
        <f aca="false">ROUND(C69*'Team &amp; Rate Card'!$E$16/10000000,2)</f>
        <v>2.54</v>
      </c>
      <c r="D72" s="35" t="s">
        <v>704</v>
      </c>
      <c r="H72" s="19" t="s">
        <v>705</v>
      </c>
    </row>
    <row r="74" customFormat="false" ht="43.5" hidden="false" customHeight="true" outlineLevel="0" collapsed="false">
      <c r="B74" s="13" t="s">
        <v>706</v>
      </c>
      <c r="C74" s="19" t="s">
        <v>707</v>
      </c>
      <c r="D74" s="19"/>
      <c r="E74" s="19"/>
      <c r="F74" s="19"/>
      <c r="G74" s="19"/>
      <c r="H74" s="19"/>
    </row>
  </sheetData>
  <sheetProtection sheet="true"/>
  <mergeCells count="1">
    <mergeCell ref="C74:H74"/>
  </mergeCells>
  <dataValidations count="1">
    <dataValidation allowBlank="true" error="This must be a number of zero or more." errorStyle="stop" errorTitle="Not a number" operator="between" prompt="This must be a number of zero or more." promptTitle="Input cell" showDropDown="false" showErrorMessage="true" showInputMessage="false" sqref="C6:E7 C10:E17 C20:E22 C25:E30 C33:E38 C41:E46 C49:E50 C53:E58 C61:E63" type="decimal">
      <formula1>0</formula1>
      <formula2>1000000000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4"/>
    <col collapsed="false" customWidth="true" hidden="false" outlineLevel="0" max="5" min="3" style="1" width="13"/>
    <col collapsed="false" customWidth="true" hidden="false" outlineLevel="0" max="6" min="6" style="1" width="52"/>
  </cols>
  <sheetData>
    <row r="1" customFormat="false" ht="17.25" hidden="false" customHeight="true" outlineLevel="0" collapsed="false">
      <c r="A1" s="2" t="s">
        <v>708</v>
      </c>
    </row>
    <row r="2" customFormat="false" ht="15" hidden="false" customHeight="true" outlineLevel="0" collapsed="false">
      <c r="A2" s="3" t="s">
        <v>709</v>
      </c>
    </row>
    <row r="4" customFormat="false" ht="15" hidden="false" customHeight="true" outlineLevel="0" collapsed="false">
      <c r="B4" s="11" t="s">
        <v>710</v>
      </c>
      <c r="C4" s="15"/>
      <c r="D4" s="15"/>
      <c r="E4" s="15"/>
      <c r="F4" s="15"/>
    </row>
    <row r="5" customFormat="false" ht="30" hidden="false" customHeight="true" outlineLevel="0" collapsed="false">
      <c r="A5" s="16" t="s">
        <v>95</v>
      </c>
      <c r="B5" s="16" t="s">
        <v>711</v>
      </c>
      <c r="C5" s="16" t="s">
        <v>712</v>
      </c>
      <c r="D5" s="16" t="s">
        <v>713</v>
      </c>
      <c r="E5" s="16" t="s">
        <v>714</v>
      </c>
      <c r="F5" s="16" t="s">
        <v>568</v>
      </c>
    </row>
    <row r="6" customFormat="false" ht="18.75" hidden="false" customHeight="true" outlineLevel="0" collapsed="false">
      <c r="A6" s="17" t="s">
        <v>715</v>
      </c>
      <c r="B6" s="14" t="s">
        <v>716</v>
      </c>
      <c r="C6" s="26" t="n">
        <v>320</v>
      </c>
      <c r="D6" s="19" t="s">
        <v>717</v>
      </c>
      <c r="E6" s="35" t="s">
        <v>718</v>
      </c>
      <c r="F6" s="19" t="s">
        <v>719</v>
      </c>
    </row>
    <row r="7" customFormat="false" ht="18.75" hidden="false" customHeight="true" outlineLevel="0" collapsed="false">
      <c r="A7" s="17" t="s">
        <v>720</v>
      </c>
      <c r="B7" s="14" t="s">
        <v>721</v>
      </c>
      <c r="C7" s="26" t="n">
        <v>220</v>
      </c>
      <c r="D7" s="19" t="s">
        <v>722</v>
      </c>
      <c r="E7" s="35" t="s">
        <v>723</v>
      </c>
      <c r="F7" s="19" t="s">
        <v>724</v>
      </c>
    </row>
    <row r="8" customFormat="false" ht="18.75" hidden="false" customHeight="true" outlineLevel="0" collapsed="false">
      <c r="A8" s="17" t="s">
        <v>725</v>
      </c>
      <c r="B8" s="14" t="s">
        <v>726</v>
      </c>
      <c r="C8" s="26" t="n">
        <v>11000</v>
      </c>
      <c r="D8" s="19" t="s">
        <v>722</v>
      </c>
      <c r="E8" s="35" t="s">
        <v>723</v>
      </c>
      <c r="F8" s="19" t="s">
        <v>727</v>
      </c>
    </row>
    <row r="9" customFormat="false" ht="18.75" hidden="false" customHeight="true" outlineLevel="0" collapsed="false">
      <c r="A9" s="17" t="s">
        <v>728</v>
      </c>
      <c r="B9" s="14" t="s">
        <v>729</v>
      </c>
      <c r="C9" s="26" t="n">
        <v>114600</v>
      </c>
      <c r="D9" s="19" t="s">
        <v>717</v>
      </c>
      <c r="E9" s="35" t="s">
        <v>718</v>
      </c>
      <c r="F9" s="19" t="s">
        <v>730</v>
      </c>
    </row>
    <row r="11" customFormat="false" ht="15" hidden="false" customHeight="true" outlineLevel="0" collapsed="false">
      <c r="B11" s="11" t="s">
        <v>731</v>
      </c>
      <c r="C11" s="15"/>
      <c r="D11" s="15"/>
      <c r="E11" s="15"/>
      <c r="F11" s="15"/>
    </row>
    <row r="12" customFormat="false" ht="30" hidden="false" customHeight="true" outlineLevel="0" collapsed="false">
      <c r="A12" s="16" t="s">
        <v>95</v>
      </c>
      <c r="B12" s="16" t="s">
        <v>112</v>
      </c>
      <c r="C12" s="16" t="s">
        <v>732</v>
      </c>
      <c r="D12" s="16" t="s">
        <v>733</v>
      </c>
      <c r="E12" s="16" t="s">
        <v>734</v>
      </c>
      <c r="F12" s="16" t="s">
        <v>735</v>
      </c>
    </row>
    <row r="13" customFormat="false" ht="15" hidden="false" customHeight="true" outlineLevel="0" collapsed="false">
      <c r="A13" s="17" t="s">
        <v>570</v>
      </c>
      <c r="B13" s="14" t="s">
        <v>736</v>
      </c>
      <c r="C13" s="39" t="n">
        <v>400</v>
      </c>
      <c r="D13" s="39" t="n">
        <v>550</v>
      </c>
      <c r="E13" s="39" t="n">
        <v>700</v>
      </c>
      <c r="F13" s="19" t="s">
        <v>737</v>
      </c>
    </row>
    <row r="14" customFormat="false" ht="23.25" hidden="false" customHeight="true" outlineLevel="0" collapsed="false">
      <c r="A14" s="17" t="s">
        <v>573</v>
      </c>
      <c r="B14" s="14" t="s">
        <v>738</v>
      </c>
      <c r="C14" s="40" t="n">
        <v>0.3</v>
      </c>
      <c r="D14" s="40" t="n">
        <v>0.35</v>
      </c>
      <c r="E14" s="40" t="n">
        <v>0.4</v>
      </c>
      <c r="F14" s="19" t="s">
        <v>739</v>
      </c>
    </row>
    <row r="15" customFormat="false" ht="15" hidden="false" customHeight="true" outlineLevel="0" collapsed="false">
      <c r="A15" s="17" t="s">
        <v>740</v>
      </c>
      <c r="B15" s="14" t="s">
        <v>741</v>
      </c>
      <c r="C15" s="26" t="n">
        <f aca="false">ROUND(C13*C14,0)</f>
        <v>120</v>
      </c>
      <c r="D15" s="26" t="n">
        <f aca="false">ROUND(D13*D14,0)</f>
        <v>193</v>
      </c>
      <c r="E15" s="26" t="n">
        <f aca="false">ROUND(E13*E14,0)</f>
        <v>280</v>
      </c>
      <c r="F15" s="19"/>
    </row>
    <row r="16" customFormat="false" ht="15" hidden="false" customHeight="true" outlineLevel="0" collapsed="false">
      <c r="A16" s="17" t="s">
        <v>742</v>
      </c>
      <c r="B16" s="14" t="s">
        <v>743</v>
      </c>
      <c r="C16" s="40" t="n">
        <v>0.15</v>
      </c>
      <c r="D16" s="40" t="n">
        <v>0.25</v>
      </c>
      <c r="E16" s="40" t="n">
        <v>0.4</v>
      </c>
      <c r="F16" s="19" t="s">
        <v>744</v>
      </c>
    </row>
    <row r="17" customFormat="false" ht="15" hidden="false" customHeight="true" outlineLevel="0" collapsed="false">
      <c r="A17" s="17" t="s">
        <v>745</v>
      </c>
      <c r="B17" s="14" t="s">
        <v>746</v>
      </c>
      <c r="C17" s="26" t="n">
        <f aca="false">ROUND(C15*C16,0)</f>
        <v>18</v>
      </c>
      <c r="D17" s="26" t="n">
        <f aca="false">ROUND(D15*D16,0)</f>
        <v>48</v>
      </c>
      <c r="E17" s="26" t="n">
        <f aca="false">ROUND(E15*E16,0)</f>
        <v>112</v>
      </c>
      <c r="F17" s="19"/>
    </row>
    <row r="18" customFormat="false" ht="15" hidden="false" customHeight="true" outlineLevel="0" collapsed="false">
      <c r="A18" s="17" t="s">
        <v>747</v>
      </c>
      <c r="B18" s="14" t="s">
        <v>748</v>
      </c>
      <c r="C18" s="39" t="n">
        <v>25</v>
      </c>
      <c r="D18" s="39" t="n">
        <v>50</v>
      </c>
      <c r="E18" s="39" t="n">
        <v>92</v>
      </c>
      <c r="F18" s="19" t="s">
        <v>749</v>
      </c>
    </row>
    <row r="19" customFormat="false" ht="15" hidden="false" customHeight="true" outlineLevel="0" collapsed="false">
      <c r="A19" s="17" t="s">
        <v>750</v>
      </c>
      <c r="B19" s="14" t="s">
        <v>751</v>
      </c>
      <c r="C19" s="41" t="n">
        <f aca="false">C17*C18/100</f>
        <v>4.5</v>
      </c>
      <c r="D19" s="41" t="n">
        <f aca="false">D17*D18/100</f>
        <v>24</v>
      </c>
      <c r="E19" s="41" t="n">
        <f aca="false">E17*E18/100</f>
        <v>103.04</v>
      </c>
      <c r="F19" s="19"/>
    </row>
    <row r="21" customFormat="false" ht="15" hidden="false" customHeight="true" outlineLevel="0" collapsed="false">
      <c r="B21" s="11" t="s">
        <v>752</v>
      </c>
      <c r="C21" s="15"/>
      <c r="D21" s="15"/>
      <c r="E21" s="15"/>
      <c r="F21" s="15"/>
    </row>
    <row r="22" customFormat="false" ht="30" hidden="false" customHeight="true" outlineLevel="0" collapsed="false">
      <c r="A22" s="16" t="s">
        <v>95</v>
      </c>
      <c r="B22" s="16" t="s">
        <v>112</v>
      </c>
      <c r="C22" s="16" t="s">
        <v>732</v>
      </c>
      <c r="D22" s="16" t="s">
        <v>733</v>
      </c>
      <c r="E22" s="16" t="s">
        <v>734</v>
      </c>
      <c r="F22" s="16" t="s">
        <v>735</v>
      </c>
    </row>
    <row r="23" customFormat="false" ht="15" hidden="false" customHeight="true" outlineLevel="0" collapsed="false">
      <c r="A23" s="17" t="s">
        <v>753</v>
      </c>
      <c r="B23" s="14" t="s">
        <v>754</v>
      </c>
      <c r="C23" s="39" t="n">
        <v>114600</v>
      </c>
      <c r="D23" s="39" t="n">
        <v>114600</v>
      </c>
      <c r="E23" s="39" t="n">
        <v>114600</v>
      </c>
      <c r="F23" s="19" t="s">
        <v>755</v>
      </c>
    </row>
    <row r="24" customFormat="false" ht="15" hidden="false" customHeight="true" outlineLevel="0" collapsed="false">
      <c r="A24" s="17" t="s">
        <v>756</v>
      </c>
      <c r="B24" s="14" t="s">
        <v>757</v>
      </c>
      <c r="C24" s="40" t="n">
        <v>0.3</v>
      </c>
      <c r="D24" s="40" t="n">
        <v>0.4</v>
      </c>
      <c r="E24" s="40" t="n">
        <v>0.5</v>
      </c>
      <c r="F24" s="19" t="s">
        <v>758</v>
      </c>
    </row>
    <row r="25" customFormat="false" ht="15" hidden="false" customHeight="true" outlineLevel="0" collapsed="false">
      <c r="A25" s="17" t="s">
        <v>759</v>
      </c>
      <c r="B25" s="14" t="s">
        <v>760</v>
      </c>
      <c r="C25" s="26" t="n">
        <f aca="false">ROUND(C23*C24,0)</f>
        <v>34380</v>
      </c>
      <c r="D25" s="26" t="n">
        <f aca="false">ROUND(D23*D24,0)</f>
        <v>45840</v>
      </c>
      <c r="E25" s="26" t="n">
        <f aca="false">ROUND(E23*E24,0)</f>
        <v>57300</v>
      </c>
      <c r="F25" s="19"/>
    </row>
    <row r="26" customFormat="false" ht="15" hidden="false" customHeight="true" outlineLevel="0" collapsed="false">
      <c r="A26" s="17" t="s">
        <v>761</v>
      </c>
      <c r="B26" s="14" t="s">
        <v>743</v>
      </c>
      <c r="C26" s="42" t="n">
        <v>0.005</v>
      </c>
      <c r="D26" s="42" t="n">
        <v>0.02</v>
      </c>
      <c r="E26" s="42" t="n">
        <v>0.05</v>
      </c>
      <c r="F26" s="19" t="s">
        <v>762</v>
      </c>
    </row>
    <row r="27" customFormat="false" ht="15" hidden="false" customHeight="true" outlineLevel="0" collapsed="false">
      <c r="A27" s="17" t="s">
        <v>763</v>
      </c>
      <c r="B27" s="14" t="s">
        <v>746</v>
      </c>
      <c r="C27" s="26" t="n">
        <f aca="false">ROUND(C25*C26,0)</f>
        <v>172</v>
      </c>
      <c r="D27" s="26" t="n">
        <f aca="false">ROUND(D25*D26,0)</f>
        <v>917</v>
      </c>
      <c r="E27" s="26" t="n">
        <f aca="false">ROUND(E25*E26,0)</f>
        <v>2865</v>
      </c>
      <c r="F27" s="19"/>
    </row>
    <row r="28" customFormat="false" ht="15" hidden="false" customHeight="true" outlineLevel="0" collapsed="false">
      <c r="A28" s="17" t="s">
        <v>764</v>
      </c>
      <c r="B28" s="14" t="s">
        <v>748</v>
      </c>
      <c r="C28" s="43" t="n">
        <v>1</v>
      </c>
      <c r="D28" s="43" t="n">
        <v>2.5</v>
      </c>
      <c r="E28" s="43" t="n">
        <v>5</v>
      </c>
      <c r="F28" s="19" t="s">
        <v>765</v>
      </c>
    </row>
    <row r="29" customFormat="false" ht="15" hidden="false" customHeight="true" outlineLevel="0" collapsed="false">
      <c r="A29" s="17" t="s">
        <v>766</v>
      </c>
      <c r="B29" s="14" t="s">
        <v>751</v>
      </c>
      <c r="C29" s="41" t="n">
        <f aca="false">C27*C28/100</f>
        <v>1.72</v>
      </c>
      <c r="D29" s="41" t="n">
        <f aca="false">D27*D28/100</f>
        <v>22.925</v>
      </c>
      <c r="E29" s="41" t="n">
        <f aca="false">E27*E28/100</f>
        <v>143.25</v>
      </c>
      <c r="F29" s="19"/>
    </row>
    <row r="31" customFormat="false" ht="15" hidden="false" customHeight="true" outlineLevel="0" collapsed="false">
      <c r="B31" s="21" t="s">
        <v>767</v>
      </c>
      <c r="C31" s="31"/>
      <c r="D31" s="31"/>
      <c r="E31" s="31"/>
      <c r="F31" s="31"/>
    </row>
    <row r="32" customFormat="false" ht="15" hidden="false" customHeight="true" outlineLevel="0" collapsed="false">
      <c r="B32" s="13" t="s">
        <v>768</v>
      </c>
      <c r="C32" s="26" t="n">
        <f aca="false">D18</f>
        <v>50</v>
      </c>
    </row>
    <row r="33" customFormat="false" ht="18.75" hidden="false" customHeight="true" outlineLevel="0" collapsed="false">
      <c r="B33" s="13" t="s">
        <v>769</v>
      </c>
      <c r="C33" s="44" t="n">
        <f aca="false">Break_Even_Licence_Lakh</f>
        <v>28.1</v>
      </c>
      <c r="F33" s="19" t="s">
        <v>770</v>
      </c>
    </row>
    <row r="34" customFormat="false" ht="18.75" hidden="false" customHeight="true" outlineLevel="0" collapsed="false">
      <c r="B34" s="21" t="s">
        <v>771</v>
      </c>
      <c r="C34" s="45" t="n">
        <f aca="false">C32-C33</f>
        <v>21.9</v>
      </c>
      <c r="D34" s="37" t="s">
        <v>772</v>
      </c>
      <c r="E34" s="31"/>
      <c r="F34" s="22" t="s">
        <v>773</v>
      </c>
    </row>
    <row r="36" customFormat="false" ht="57.75" hidden="false" customHeight="true" outlineLevel="0" collapsed="false">
      <c r="B36" s="13" t="s">
        <v>774</v>
      </c>
      <c r="C36" s="19" t="s">
        <v>775</v>
      </c>
      <c r="D36" s="19"/>
      <c r="E36" s="19"/>
      <c r="F36" s="19"/>
    </row>
  </sheetData>
  <mergeCells count="1">
    <mergeCell ref="C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4"/>
    <col collapsed="false" customWidth="true" hidden="false" outlineLevel="0" max="3" min="3" style="1" width="26"/>
    <col collapsed="false" customWidth="true" hidden="false" outlineLevel="0" max="5" min="4" style="1" width="15"/>
    <col collapsed="false" customWidth="true" hidden="false" outlineLevel="0" max="6" min="6" style="1" width="14"/>
    <col collapsed="false" customWidth="true" hidden="false" outlineLevel="0" max="7" min="7" style="1" width="44"/>
  </cols>
  <sheetData>
    <row r="1" customFormat="false" ht="17.25" hidden="false" customHeight="true" outlineLevel="0" collapsed="false">
      <c r="A1" s="2" t="s">
        <v>776</v>
      </c>
    </row>
    <row r="2" customFormat="false" ht="15" hidden="false" customHeight="true" outlineLevel="0" collapsed="false">
      <c r="A2" s="3" t="s">
        <v>777</v>
      </c>
    </row>
    <row r="4" customFormat="false" ht="30" hidden="false" customHeight="true" outlineLevel="0" collapsed="false">
      <c r="A4" s="16" t="s">
        <v>778</v>
      </c>
      <c r="B4" s="16" t="s">
        <v>779</v>
      </c>
      <c r="C4" s="16" t="s">
        <v>780</v>
      </c>
      <c r="D4" s="16" t="s">
        <v>781</v>
      </c>
      <c r="E4" s="16" t="s">
        <v>782</v>
      </c>
      <c r="F4" s="16" t="s">
        <v>783</v>
      </c>
      <c r="G4" s="16" t="s">
        <v>784</v>
      </c>
    </row>
    <row r="5" customFormat="false" ht="18.75" hidden="false" customHeight="true" outlineLevel="0" collapsed="false">
      <c r="A5" s="17" t="n">
        <v>1</v>
      </c>
      <c r="B5" s="14" t="s">
        <v>785</v>
      </c>
      <c r="C5" s="19" t="s">
        <v>786</v>
      </c>
      <c r="D5" s="26" t="n">
        <v>1251</v>
      </c>
      <c r="E5" s="26" t="n">
        <v>2101</v>
      </c>
      <c r="F5" s="46" t="n">
        <f aca="false">E5-D5</f>
        <v>850</v>
      </c>
      <c r="G5" s="19" t="s">
        <v>787</v>
      </c>
    </row>
    <row r="6" customFormat="false" ht="15" hidden="false" customHeight="true" outlineLevel="0" collapsed="false">
      <c r="A6" s="17" t="n">
        <v>2</v>
      </c>
      <c r="B6" s="14" t="s">
        <v>788</v>
      </c>
      <c r="C6" s="19" t="s">
        <v>789</v>
      </c>
      <c r="D6" s="26" t="n">
        <v>1439</v>
      </c>
      <c r="E6" s="26" t="n">
        <v>1825</v>
      </c>
      <c r="F6" s="46" t="n">
        <f aca="false">E6-D6</f>
        <v>386</v>
      </c>
      <c r="G6" s="19"/>
    </row>
    <row r="7" customFormat="false" ht="15" hidden="false" customHeight="true" outlineLevel="0" collapsed="false">
      <c r="A7" s="17" t="n">
        <v>3</v>
      </c>
      <c r="B7" s="14" t="s">
        <v>790</v>
      </c>
      <c r="C7" s="19" t="s">
        <v>791</v>
      </c>
      <c r="D7" s="26" t="n">
        <v>1620</v>
      </c>
      <c r="E7" s="26" t="n">
        <v>1795</v>
      </c>
      <c r="F7" s="46" t="n">
        <f aca="false">E7-D7</f>
        <v>175</v>
      </c>
      <c r="G7" s="19"/>
    </row>
    <row r="8" customFormat="false" ht="15" hidden="false" customHeight="true" outlineLevel="0" collapsed="false">
      <c r="A8" s="17" t="n">
        <v>4</v>
      </c>
      <c r="B8" s="14" t="s">
        <v>792</v>
      </c>
      <c r="C8" s="19" t="s">
        <v>793</v>
      </c>
      <c r="D8" s="26" t="n">
        <v>1635</v>
      </c>
      <c r="E8" s="26" t="n">
        <v>1770</v>
      </c>
      <c r="F8" s="46" t="n">
        <f aca="false">E8-D8</f>
        <v>135</v>
      </c>
      <c r="G8" s="19"/>
    </row>
    <row r="9" customFormat="false" ht="15" hidden="false" customHeight="true" outlineLevel="0" collapsed="false">
      <c r="A9" s="17" t="n">
        <v>5</v>
      </c>
      <c r="B9" s="14" t="s">
        <v>794</v>
      </c>
      <c r="C9" s="19" t="s">
        <v>795</v>
      </c>
      <c r="D9" s="26" t="n">
        <v>1639</v>
      </c>
      <c r="E9" s="26" t="n">
        <v>1731</v>
      </c>
      <c r="F9" s="46" t="n">
        <f aca="false">E9-D9</f>
        <v>92</v>
      </c>
      <c r="G9" s="19"/>
    </row>
    <row r="10" customFormat="false" ht="15" hidden="false" customHeight="true" outlineLevel="0" collapsed="false">
      <c r="A10" s="17" t="n">
        <v>6</v>
      </c>
      <c r="B10" s="14" t="s">
        <v>796</v>
      </c>
      <c r="C10" s="19" t="s">
        <v>797</v>
      </c>
      <c r="D10" s="26" t="n">
        <v>1613</v>
      </c>
      <c r="E10" s="26" t="n">
        <v>1705</v>
      </c>
      <c r="F10" s="46" t="n">
        <f aca="false">E10-D10</f>
        <v>92</v>
      </c>
      <c r="G10" s="19"/>
    </row>
    <row r="12" customFormat="false" ht="15" hidden="false" customHeight="true" outlineLevel="0" collapsed="false">
      <c r="B12" s="13" t="s">
        <v>798</v>
      </c>
      <c r="D12" s="46" t="n">
        <v>1675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4"/>
    <col collapsed="false" customWidth="true" hidden="false" outlineLevel="0" max="8" min="3" style="1" width="12"/>
    <col collapsed="false" customWidth="true" hidden="false" outlineLevel="0" max="9" min="9" style="1" width="44"/>
  </cols>
  <sheetData>
    <row r="1" customFormat="false" ht="17.25" hidden="false" customHeight="true" outlineLevel="0" collapsed="false">
      <c r="A1" s="2" t="s">
        <v>799</v>
      </c>
    </row>
    <row r="2" customFormat="false" ht="15" hidden="false" customHeight="true" outlineLevel="0" collapsed="false">
      <c r="A2" s="3" t="s">
        <v>800</v>
      </c>
    </row>
    <row r="4" customFormat="false" ht="15" hidden="false" customHeight="true" outlineLevel="0" collapsed="false">
      <c r="B4" s="11" t="s">
        <v>801</v>
      </c>
      <c r="C4" s="15"/>
      <c r="D4" s="15"/>
      <c r="E4" s="15"/>
      <c r="F4" s="15"/>
      <c r="G4" s="15"/>
      <c r="H4" s="15"/>
      <c r="I4" s="15"/>
    </row>
    <row r="5" customFormat="false" ht="30" hidden="false" customHeight="true" outlineLevel="0" collapsed="false">
      <c r="A5" s="16" t="s">
        <v>95</v>
      </c>
      <c r="B5" s="16" t="s">
        <v>802</v>
      </c>
      <c r="C5" s="16" t="s">
        <v>715</v>
      </c>
      <c r="D5" s="16" t="s">
        <v>720</v>
      </c>
      <c r="E5" s="16" t="s">
        <v>725</v>
      </c>
      <c r="F5" s="16" t="s">
        <v>728</v>
      </c>
      <c r="G5" s="16" t="s">
        <v>803</v>
      </c>
      <c r="H5" s="16" t="s">
        <v>804</v>
      </c>
      <c r="I5" s="16" t="s">
        <v>568</v>
      </c>
    </row>
    <row r="6" customFormat="false" ht="15" hidden="false" customHeight="true" outlineLevel="0" collapsed="false">
      <c r="A6" s="17" t="s">
        <v>603</v>
      </c>
      <c r="B6" s="17" t="s">
        <v>805</v>
      </c>
      <c r="C6" s="47" t="n">
        <v>0.4</v>
      </c>
      <c r="D6" s="47" t="n">
        <v>0.7</v>
      </c>
      <c r="E6" s="47" t="n">
        <v>1</v>
      </c>
      <c r="F6" s="47" t="n">
        <v>1.15</v>
      </c>
      <c r="G6" s="47" t="n">
        <v>1.25</v>
      </c>
      <c r="H6" s="47" t="n">
        <v>1.25</v>
      </c>
      <c r="I6" s="19" t="s">
        <v>806</v>
      </c>
    </row>
    <row r="7" customFormat="false" ht="15" hidden="false" customHeight="true" outlineLevel="0" collapsed="false">
      <c r="A7" s="17" t="s">
        <v>606</v>
      </c>
      <c r="B7" s="17" t="s">
        <v>807</v>
      </c>
      <c r="C7" s="26" t="n">
        <f aca="false">ROUND(1675*C6/11.2,0)</f>
        <v>60</v>
      </c>
      <c r="D7" s="26" t="n">
        <f aca="false">ROUND(1675*D6/11.2,0)</f>
        <v>105</v>
      </c>
      <c r="E7" s="26" t="n">
        <f aca="false">ROUND(1675*E6/11.2,0)</f>
        <v>150</v>
      </c>
      <c r="F7" s="26" t="n">
        <f aca="false">ROUND(1675*F6/11.2,0)</f>
        <v>172</v>
      </c>
      <c r="G7" s="26" t="n">
        <f aca="false">ROUND(1675*G6/11.2,0)</f>
        <v>187</v>
      </c>
      <c r="H7" s="26" t="n">
        <f aca="false">ROUND(1675*H6/11.2,0)</f>
        <v>187</v>
      </c>
    </row>
    <row r="8" customFormat="false" ht="15" hidden="false" customHeight="true" outlineLevel="0" collapsed="false">
      <c r="A8" s="17" t="s">
        <v>609</v>
      </c>
      <c r="B8" s="17" t="s">
        <v>86</v>
      </c>
      <c r="C8" s="27" t="n">
        <f aca="false">ROUND(C7/21,1)</f>
        <v>2.9</v>
      </c>
      <c r="D8" s="27" t="n">
        <f aca="false">ROUND(D7/21,1)</f>
        <v>5</v>
      </c>
      <c r="E8" s="27" t="n">
        <f aca="false">ROUND(E7/21,1)</f>
        <v>7.1</v>
      </c>
      <c r="F8" s="27" t="n">
        <f aca="false">ROUND(F7/21,1)</f>
        <v>8.2</v>
      </c>
      <c r="G8" s="27" t="n">
        <f aca="false">ROUND(G7/21,1)</f>
        <v>8.9</v>
      </c>
      <c r="H8" s="27" t="n">
        <f aca="false">ROUND(H7/21,1)</f>
        <v>8.9</v>
      </c>
    </row>
    <row r="9" customFormat="false" ht="15" hidden="false" customHeight="true" outlineLevel="0" collapsed="false">
      <c r="A9" s="17" t="s">
        <v>808</v>
      </c>
      <c r="B9" s="17" t="s">
        <v>809</v>
      </c>
      <c r="C9" s="44" t="n">
        <f aca="false">ROUND(C7*'Team &amp; Rate Card'!$E$16/100000,1)</f>
        <v>9.1</v>
      </c>
      <c r="D9" s="44" t="n">
        <f aca="false">ROUND(D7*'Team &amp; Rate Card'!$E$16/100000,1)</f>
        <v>15.9</v>
      </c>
      <c r="E9" s="44" t="n">
        <f aca="false">ROUND(E7*'Team &amp; Rate Card'!$E$16/100000,1)</f>
        <v>22.7</v>
      </c>
      <c r="F9" s="44" t="n">
        <f aca="false">ROUND(F7*'Team &amp; Rate Card'!$E$16/100000,1)</f>
        <v>26</v>
      </c>
      <c r="G9" s="44" t="n">
        <f aca="false">ROUND(G7*'Team &amp; Rate Card'!$E$16/100000,1)</f>
        <v>28.3</v>
      </c>
      <c r="H9" s="44" t="n">
        <f aca="false">ROUND(H7*'Team &amp; Rate Card'!$E$16/100000,1)</f>
        <v>28.3</v>
      </c>
    </row>
    <row r="11" customFormat="false" ht="15" hidden="false" customHeight="true" outlineLevel="0" collapsed="false">
      <c r="B11" s="13" t="s">
        <v>810</v>
      </c>
      <c r="C11" s="48" t="n">
        <f aca="false">MAX(C8:H8)</f>
        <v>8.9</v>
      </c>
      <c r="I11" s="19" t="s">
        <v>811</v>
      </c>
    </row>
    <row r="12" customFormat="false" ht="15" hidden="false" customHeight="true" outlineLevel="0" collapsed="false">
      <c r="B12" s="13" t="s">
        <v>812</v>
      </c>
      <c r="C12" s="49" t="n">
        <f aca="false">ROUND(1675*'Team &amp; Rate Card'!$E$16/10000000,2)</f>
        <v>2.53</v>
      </c>
    </row>
    <row r="13" customFormat="false" ht="18.75" hidden="false" customHeight="true" outlineLevel="0" collapsed="false">
      <c r="B13" s="21" t="s">
        <v>813</v>
      </c>
      <c r="C13" s="50" t="n">
        <f aca="false">C12</f>
        <v>2.53</v>
      </c>
      <c r="I13" s="22" t="s">
        <v>814</v>
      </c>
    </row>
    <row r="15" customFormat="false" ht="15" hidden="false" customHeight="true" outlineLevel="0" collapsed="false">
      <c r="B15" s="11" t="s">
        <v>815</v>
      </c>
      <c r="C15" s="15"/>
      <c r="D15" s="15"/>
      <c r="E15" s="15"/>
      <c r="F15" s="15"/>
      <c r="G15" s="15"/>
      <c r="H15" s="15"/>
      <c r="I15" s="15"/>
    </row>
    <row r="16" customFormat="false" ht="30" hidden="false" customHeight="true" outlineLevel="0" collapsed="false">
      <c r="A16" s="16" t="s">
        <v>95</v>
      </c>
      <c r="B16" s="16" t="s">
        <v>816</v>
      </c>
      <c r="C16" s="16" t="s">
        <v>712</v>
      </c>
      <c r="D16" s="16" t="s">
        <v>817</v>
      </c>
      <c r="E16" s="16" t="s">
        <v>818</v>
      </c>
      <c r="F16" s="16"/>
      <c r="G16" s="16"/>
      <c r="H16" s="16"/>
      <c r="I16" s="16" t="s">
        <v>735</v>
      </c>
    </row>
    <row r="17" customFormat="false" ht="15" hidden="false" customHeight="true" outlineLevel="0" collapsed="false">
      <c r="A17" s="17" t="s">
        <v>649</v>
      </c>
      <c r="B17" s="14" t="s">
        <v>819</v>
      </c>
      <c r="C17" s="39" t="n">
        <v>37</v>
      </c>
      <c r="D17" s="39" t="n">
        <v>14</v>
      </c>
      <c r="E17" s="26" t="n">
        <f aca="false">C17*D17</f>
        <v>518</v>
      </c>
      <c r="I17" s="19" t="s">
        <v>820</v>
      </c>
    </row>
    <row r="18" customFormat="false" ht="15" hidden="false" customHeight="true" outlineLevel="0" collapsed="false">
      <c r="A18" s="17" t="s">
        <v>652</v>
      </c>
      <c r="B18" s="14" t="s">
        <v>821</v>
      </c>
      <c r="C18" s="39" t="n">
        <v>22</v>
      </c>
      <c r="D18" s="39" t="n">
        <v>12</v>
      </c>
      <c r="E18" s="26" t="n">
        <f aca="false">C18*D18</f>
        <v>264</v>
      </c>
      <c r="I18" s="19" t="s">
        <v>822</v>
      </c>
    </row>
    <row r="19" customFormat="false" ht="15" hidden="false" customHeight="true" outlineLevel="0" collapsed="false">
      <c r="A19" s="17" t="s">
        <v>654</v>
      </c>
      <c r="B19" s="14" t="s">
        <v>823</v>
      </c>
      <c r="C19" s="39" t="n">
        <v>9</v>
      </c>
      <c r="D19" s="39" t="n">
        <v>22</v>
      </c>
      <c r="E19" s="26" t="n">
        <f aca="false">C19*D19</f>
        <v>198</v>
      </c>
      <c r="I19" s="19" t="s">
        <v>824</v>
      </c>
    </row>
    <row r="20" customFormat="false" ht="15" hidden="false" customHeight="true" outlineLevel="0" collapsed="false">
      <c r="A20" s="17" t="s">
        <v>657</v>
      </c>
      <c r="B20" s="14" t="s">
        <v>825</v>
      </c>
      <c r="C20" s="39" t="n">
        <v>6</v>
      </c>
      <c r="D20" s="39" t="n">
        <v>18</v>
      </c>
      <c r="E20" s="26" t="n">
        <f aca="false">C20*D20</f>
        <v>108</v>
      </c>
      <c r="I20" s="19" t="s">
        <v>826</v>
      </c>
    </row>
    <row r="21" customFormat="false" ht="15" hidden="false" customHeight="true" outlineLevel="0" collapsed="false">
      <c r="A21" s="17" t="s">
        <v>660</v>
      </c>
      <c r="B21" s="14" t="s">
        <v>827</v>
      </c>
      <c r="C21" s="39" t="n">
        <v>8</v>
      </c>
      <c r="D21" s="39" t="n">
        <v>26</v>
      </c>
      <c r="E21" s="26" t="n">
        <f aca="false">C21*D21</f>
        <v>208</v>
      </c>
      <c r="I21" s="19" t="s">
        <v>828</v>
      </c>
    </row>
    <row r="22" customFormat="false" ht="15" hidden="false" customHeight="true" outlineLevel="0" collapsed="false">
      <c r="B22" s="29" t="s">
        <v>829</v>
      </c>
      <c r="E22" s="30" t="n">
        <f aca="false">SUM(E17:E21)</f>
        <v>1296</v>
      </c>
    </row>
    <row r="23" customFormat="false" ht="15" hidden="false" customHeight="true" outlineLevel="0" collapsed="false">
      <c r="B23" s="13" t="s">
        <v>830</v>
      </c>
      <c r="E23" s="46" t="n">
        <v>1675</v>
      </c>
    </row>
    <row r="24" customFormat="false" ht="27.75" hidden="false" customHeight="true" outlineLevel="0" collapsed="false">
      <c r="B24" s="21" t="s">
        <v>831</v>
      </c>
      <c r="E24" s="51" t="n">
        <f aca="false">(E22-1675)/1675</f>
        <v>-0.226268656716418</v>
      </c>
      <c r="I24" s="22" t="s">
        <v>832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4"/>
    <col collapsed="false" customWidth="true" hidden="false" outlineLevel="0" max="3" min="3" style="1" width="15"/>
    <col collapsed="false" customWidth="true" hidden="false" outlineLevel="0" max="4" min="4" style="1" width="8"/>
    <col collapsed="false" customWidth="true" hidden="false" outlineLevel="0" max="6" min="5" style="1" width="9"/>
    <col collapsed="false" customWidth="true" hidden="false" outlineLevel="0" max="7" min="7" style="1" width="11"/>
    <col collapsed="false" customWidth="true" hidden="false" outlineLevel="0" max="8" min="8" style="1" width="9"/>
    <col collapsed="false" customWidth="true" hidden="false" outlineLevel="0" max="9" min="9" style="1" width="56"/>
  </cols>
  <sheetData>
    <row r="1" customFormat="false" ht="17.25" hidden="false" customHeight="true" outlineLevel="0" collapsed="false">
      <c r="A1" s="2" t="s">
        <v>833</v>
      </c>
    </row>
    <row r="2" customFormat="false" ht="15" hidden="false" customHeight="true" outlineLevel="0" collapsed="false">
      <c r="A2" s="3" t="s">
        <v>834</v>
      </c>
    </row>
    <row r="4" customFormat="false" ht="30" hidden="false" customHeight="true" outlineLevel="0" collapsed="false">
      <c r="A4" s="16" t="s">
        <v>95</v>
      </c>
      <c r="B4" s="16" t="s">
        <v>835</v>
      </c>
      <c r="C4" s="16" t="s">
        <v>713</v>
      </c>
      <c r="D4" s="16" t="s">
        <v>563</v>
      </c>
      <c r="E4" s="16" t="s">
        <v>564</v>
      </c>
      <c r="F4" s="16" t="s">
        <v>565</v>
      </c>
      <c r="G4" s="16" t="s">
        <v>566</v>
      </c>
      <c r="H4" s="16" t="s">
        <v>567</v>
      </c>
      <c r="I4" s="16" t="s">
        <v>836</v>
      </c>
    </row>
    <row r="5" customFormat="false" ht="15" hidden="false" customHeight="true" outlineLevel="0" collapsed="false">
      <c r="A5" s="11" t="s">
        <v>837</v>
      </c>
      <c r="B5" s="11" t="s">
        <v>838</v>
      </c>
      <c r="C5" s="15"/>
      <c r="D5" s="15"/>
      <c r="E5" s="15"/>
      <c r="F5" s="15"/>
      <c r="G5" s="15"/>
      <c r="H5" s="15"/>
      <c r="I5" s="15"/>
    </row>
    <row r="6" customFormat="false" ht="25.5" hidden="false" customHeight="true" outlineLevel="0" collapsed="false">
      <c r="A6" s="17" t="s">
        <v>570</v>
      </c>
      <c r="B6" s="14" t="s">
        <v>839</v>
      </c>
      <c r="C6" s="14" t="s">
        <v>840</v>
      </c>
      <c r="D6" s="52" t="n">
        <v>22</v>
      </c>
      <c r="E6" s="52" t="n">
        <v>32</v>
      </c>
      <c r="F6" s="52" t="n">
        <v>50</v>
      </c>
      <c r="G6" s="26" t="n">
        <f aca="false">ROUND((D6+4*E6+F6)/6,0)</f>
        <v>33</v>
      </c>
      <c r="H6" s="27" t="n">
        <f aca="false">ROUND((F6-D6)/6,1)</f>
        <v>4.7</v>
      </c>
      <c r="I6" s="19" t="s">
        <v>841</v>
      </c>
    </row>
    <row r="7" customFormat="false" ht="25.5" hidden="false" customHeight="true" outlineLevel="0" collapsed="false">
      <c r="A7" s="17" t="s">
        <v>573</v>
      </c>
      <c r="B7" s="14" t="s">
        <v>842</v>
      </c>
      <c r="C7" s="14" t="s">
        <v>840</v>
      </c>
      <c r="D7" s="52" t="n">
        <v>18</v>
      </c>
      <c r="E7" s="52" t="n">
        <v>28</v>
      </c>
      <c r="F7" s="52" t="n">
        <v>45</v>
      </c>
      <c r="G7" s="26" t="n">
        <f aca="false">ROUND((D7+4*E7+F7)/6,0)</f>
        <v>29</v>
      </c>
      <c r="H7" s="27" t="n">
        <f aca="false">ROUND((F7-D7)/6,1)</f>
        <v>4.5</v>
      </c>
      <c r="I7" s="19" t="s">
        <v>843</v>
      </c>
    </row>
    <row r="8" customFormat="false" ht="15" hidden="false" customHeight="true" outlineLevel="0" collapsed="false">
      <c r="A8" s="28"/>
      <c r="B8" s="29" t="s">
        <v>844</v>
      </c>
      <c r="C8" s="28"/>
      <c r="D8" s="30" t="n">
        <f aca="false">SUM(D6:D7)</f>
        <v>40</v>
      </c>
      <c r="E8" s="30" t="n">
        <f aca="false">SUM(E6:E7)</f>
        <v>60</v>
      </c>
      <c r="F8" s="30" t="n">
        <f aca="false">SUM(F6:F7)</f>
        <v>95</v>
      </c>
      <c r="G8" s="30" t="n">
        <f aca="false">SUM(G6:G7)</f>
        <v>62</v>
      </c>
      <c r="H8" s="53" t="n">
        <f aca="false">ROUND(SQRT(SUMPRODUCT(H6:H7,H6:H7)),1)</f>
        <v>6.5</v>
      </c>
      <c r="I8" s="28"/>
    </row>
    <row r="10" customFormat="false" ht="15" hidden="false" customHeight="true" outlineLevel="0" collapsed="false">
      <c r="A10" s="11" t="s">
        <v>845</v>
      </c>
      <c r="B10" s="11" t="s">
        <v>846</v>
      </c>
      <c r="C10" s="15"/>
      <c r="D10" s="15"/>
      <c r="E10" s="15"/>
      <c r="F10" s="15"/>
      <c r="G10" s="15"/>
      <c r="H10" s="15"/>
      <c r="I10" s="15"/>
    </row>
    <row r="11" customFormat="false" ht="25.5" hidden="false" customHeight="true" outlineLevel="0" collapsed="false">
      <c r="A11" s="17" t="s">
        <v>753</v>
      </c>
      <c r="B11" s="14" t="s">
        <v>847</v>
      </c>
      <c r="C11" s="14" t="s">
        <v>848</v>
      </c>
      <c r="D11" s="52" t="n">
        <v>18</v>
      </c>
      <c r="E11" s="52" t="n">
        <v>26</v>
      </c>
      <c r="F11" s="52" t="n">
        <v>40</v>
      </c>
      <c r="G11" s="26" t="n">
        <f aca="false">ROUND((D11+4*E11+F11)/6,0)</f>
        <v>27</v>
      </c>
      <c r="H11" s="27" t="n">
        <f aca="false">ROUND((F11-D11)/6,1)</f>
        <v>3.7</v>
      </c>
      <c r="I11" s="19" t="s">
        <v>849</v>
      </c>
    </row>
    <row r="12" customFormat="false" ht="25.5" hidden="false" customHeight="true" outlineLevel="0" collapsed="false">
      <c r="A12" s="17" t="s">
        <v>756</v>
      </c>
      <c r="B12" s="14" t="s">
        <v>850</v>
      </c>
      <c r="C12" s="14" t="s">
        <v>840</v>
      </c>
      <c r="D12" s="52" t="n">
        <v>24</v>
      </c>
      <c r="E12" s="52" t="n">
        <v>36</v>
      </c>
      <c r="F12" s="52" t="n">
        <v>52</v>
      </c>
      <c r="G12" s="26" t="n">
        <f aca="false">ROUND((D12+4*E12+F12)/6,0)</f>
        <v>37</v>
      </c>
      <c r="H12" s="27" t="n">
        <f aca="false">ROUND((F12-D12)/6,1)</f>
        <v>4.7</v>
      </c>
      <c r="I12" s="19"/>
    </row>
    <row r="13" customFormat="false" ht="25.5" hidden="false" customHeight="true" outlineLevel="0" collapsed="false">
      <c r="A13" s="17" t="s">
        <v>759</v>
      </c>
      <c r="B13" s="14" t="s">
        <v>851</v>
      </c>
      <c r="C13" s="14" t="s">
        <v>852</v>
      </c>
      <c r="D13" s="52" t="n">
        <v>18</v>
      </c>
      <c r="E13" s="52" t="n">
        <v>28</v>
      </c>
      <c r="F13" s="52" t="n">
        <v>42</v>
      </c>
      <c r="G13" s="26" t="n">
        <f aca="false">ROUND((D13+4*E13+F13)/6,0)</f>
        <v>29</v>
      </c>
      <c r="H13" s="27" t="n">
        <f aca="false">ROUND((F13-D13)/6,1)</f>
        <v>4</v>
      </c>
      <c r="I13" s="19"/>
    </row>
    <row r="14" customFormat="false" ht="15" hidden="false" customHeight="true" outlineLevel="0" collapsed="false">
      <c r="A14" s="28"/>
      <c r="B14" s="29" t="s">
        <v>853</v>
      </c>
      <c r="C14" s="28"/>
      <c r="D14" s="30" t="n">
        <f aca="false">SUM(D11:D13)</f>
        <v>60</v>
      </c>
      <c r="E14" s="30" t="n">
        <f aca="false">SUM(E11:E13)</f>
        <v>90</v>
      </c>
      <c r="F14" s="30" t="n">
        <f aca="false">SUM(F11:F13)</f>
        <v>134</v>
      </c>
      <c r="G14" s="30" t="n">
        <f aca="false">SUM(G11:G13)</f>
        <v>93</v>
      </c>
      <c r="H14" s="53" t="n">
        <f aca="false">ROUND(SQRT(SUMPRODUCT(H11:H13,H11:H13)),1)</f>
        <v>7.2</v>
      </c>
      <c r="I14" s="28"/>
    </row>
    <row r="16" customFormat="false" ht="15" hidden="false" customHeight="true" outlineLevel="0" collapsed="false">
      <c r="A16" s="11" t="s">
        <v>854</v>
      </c>
      <c r="B16" s="11" t="s">
        <v>855</v>
      </c>
      <c r="C16" s="15"/>
      <c r="D16" s="15"/>
      <c r="E16" s="15"/>
      <c r="F16" s="15"/>
      <c r="G16" s="15"/>
      <c r="H16" s="15"/>
      <c r="I16" s="15"/>
    </row>
    <row r="17" customFormat="false" ht="25.5" hidden="false" customHeight="true" outlineLevel="0" collapsed="false">
      <c r="A17" s="17" t="s">
        <v>603</v>
      </c>
      <c r="B17" s="14" t="s">
        <v>856</v>
      </c>
      <c r="C17" s="14" t="s">
        <v>840</v>
      </c>
      <c r="D17" s="52" t="n">
        <v>24</v>
      </c>
      <c r="E17" s="52" t="n">
        <v>34</v>
      </c>
      <c r="F17" s="52" t="n">
        <v>50</v>
      </c>
      <c r="G17" s="26" t="n">
        <f aca="false">ROUND((D17+4*E17+F17)/6,0)</f>
        <v>35</v>
      </c>
      <c r="H17" s="27" t="n">
        <f aca="false">ROUND((F17-D17)/6,1)</f>
        <v>4.3</v>
      </c>
      <c r="I17" s="19"/>
    </row>
    <row r="18" customFormat="false" ht="25.5" hidden="false" customHeight="true" outlineLevel="0" collapsed="false">
      <c r="A18" s="17" t="s">
        <v>606</v>
      </c>
      <c r="B18" s="14" t="s">
        <v>857</v>
      </c>
      <c r="C18" s="14" t="s">
        <v>858</v>
      </c>
      <c r="D18" s="52" t="n">
        <v>20</v>
      </c>
      <c r="E18" s="52" t="n">
        <v>30</v>
      </c>
      <c r="F18" s="52" t="n">
        <v>45</v>
      </c>
      <c r="G18" s="26" t="n">
        <f aca="false">ROUND((D18+4*E18+F18)/6,0)</f>
        <v>31</v>
      </c>
      <c r="H18" s="27" t="n">
        <f aca="false">ROUND((F18-D18)/6,1)</f>
        <v>4.2</v>
      </c>
      <c r="I18" s="19" t="s">
        <v>859</v>
      </c>
    </row>
    <row r="19" customFormat="false" ht="25.5" hidden="false" customHeight="true" outlineLevel="0" collapsed="false">
      <c r="A19" s="17" t="s">
        <v>609</v>
      </c>
      <c r="B19" s="14" t="s">
        <v>860</v>
      </c>
      <c r="C19" s="14" t="s">
        <v>861</v>
      </c>
      <c r="D19" s="52" t="n">
        <v>28</v>
      </c>
      <c r="E19" s="52" t="n">
        <v>40</v>
      </c>
      <c r="F19" s="52" t="n">
        <v>58</v>
      </c>
      <c r="G19" s="26" t="n">
        <f aca="false">ROUND((D19+4*E19+F19)/6,0)</f>
        <v>41</v>
      </c>
      <c r="H19" s="27" t="n">
        <f aca="false">ROUND((F19-D19)/6,1)</f>
        <v>5</v>
      </c>
      <c r="I19" s="19" t="s">
        <v>862</v>
      </c>
    </row>
    <row r="20" customFormat="false" ht="25.5" hidden="false" customHeight="true" outlineLevel="0" collapsed="false">
      <c r="A20" s="17" t="s">
        <v>808</v>
      </c>
      <c r="B20" s="14" t="s">
        <v>863</v>
      </c>
      <c r="C20" s="14" t="s">
        <v>864</v>
      </c>
      <c r="D20" s="52" t="n">
        <v>15</v>
      </c>
      <c r="E20" s="52" t="n">
        <v>22</v>
      </c>
      <c r="F20" s="52" t="n">
        <v>34</v>
      </c>
      <c r="G20" s="26" t="n">
        <f aca="false">ROUND((D20+4*E20+F20)/6,0)</f>
        <v>23</v>
      </c>
      <c r="H20" s="27" t="n">
        <f aca="false">ROUND((F20-D20)/6,1)</f>
        <v>3.2</v>
      </c>
      <c r="I20" s="19" t="s">
        <v>865</v>
      </c>
    </row>
    <row r="21" customFormat="false" ht="25.5" hidden="false" customHeight="true" outlineLevel="0" collapsed="false">
      <c r="A21" s="17" t="s">
        <v>866</v>
      </c>
      <c r="B21" s="14" t="s">
        <v>867</v>
      </c>
      <c r="C21" s="14" t="s">
        <v>868</v>
      </c>
      <c r="D21" s="52" t="n">
        <v>20</v>
      </c>
      <c r="E21" s="52" t="n">
        <v>30</v>
      </c>
      <c r="F21" s="52" t="n">
        <v>46</v>
      </c>
      <c r="G21" s="26" t="n">
        <f aca="false">ROUND((D21+4*E21+F21)/6,0)</f>
        <v>31</v>
      </c>
      <c r="H21" s="27" t="n">
        <f aca="false">ROUND((F21-D21)/6,1)</f>
        <v>4.3</v>
      </c>
      <c r="I21" s="19"/>
    </row>
    <row r="22" customFormat="false" ht="25.5" hidden="false" customHeight="true" outlineLevel="0" collapsed="false">
      <c r="A22" s="54" t="s">
        <v>869</v>
      </c>
      <c r="B22" s="55" t="s">
        <v>870</v>
      </c>
      <c r="C22" s="55" t="s">
        <v>871</v>
      </c>
      <c r="D22" s="56" t="n">
        <v>30</v>
      </c>
      <c r="E22" s="56" t="n">
        <v>45</v>
      </c>
      <c r="F22" s="56" t="n">
        <v>68</v>
      </c>
      <c r="G22" s="57" t="n">
        <f aca="false">ROUND((D22+4*E22+F22)/6,0)</f>
        <v>46</v>
      </c>
      <c r="H22" s="58" t="n">
        <f aca="false">ROUND((F22-D22)/6,1)</f>
        <v>6.3</v>
      </c>
      <c r="I22" s="59" t="s">
        <v>872</v>
      </c>
    </row>
    <row r="23" customFormat="false" ht="25.5" hidden="false" customHeight="true" outlineLevel="0" collapsed="false">
      <c r="A23" s="17" t="s">
        <v>873</v>
      </c>
      <c r="B23" s="14" t="s">
        <v>874</v>
      </c>
      <c r="C23" s="14" t="s">
        <v>875</v>
      </c>
      <c r="D23" s="52" t="n">
        <v>20</v>
      </c>
      <c r="E23" s="52" t="n">
        <v>30</v>
      </c>
      <c r="F23" s="52" t="n">
        <v>46</v>
      </c>
      <c r="G23" s="26" t="n">
        <f aca="false">ROUND((D23+4*E23+F23)/6,0)</f>
        <v>31</v>
      </c>
      <c r="H23" s="27" t="n">
        <f aca="false">ROUND((F23-D23)/6,1)</f>
        <v>4.3</v>
      </c>
      <c r="I23" s="19" t="s">
        <v>876</v>
      </c>
    </row>
    <row r="24" customFormat="false" ht="25.5" hidden="false" customHeight="true" outlineLevel="0" collapsed="false">
      <c r="A24" s="17" t="s">
        <v>877</v>
      </c>
      <c r="B24" s="14" t="s">
        <v>878</v>
      </c>
      <c r="C24" s="14" t="s">
        <v>879</v>
      </c>
      <c r="D24" s="52" t="n">
        <v>12</v>
      </c>
      <c r="E24" s="52" t="n">
        <v>18</v>
      </c>
      <c r="F24" s="52" t="n">
        <v>28</v>
      </c>
      <c r="G24" s="26" t="n">
        <f aca="false">ROUND((D24+4*E24+F24)/6,0)</f>
        <v>19</v>
      </c>
      <c r="H24" s="27" t="n">
        <f aca="false">ROUND((F24-D24)/6,1)</f>
        <v>2.7</v>
      </c>
      <c r="I24" s="19"/>
    </row>
    <row r="25" customFormat="false" ht="25.5" hidden="false" customHeight="true" outlineLevel="0" collapsed="false">
      <c r="A25" s="17" t="s">
        <v>880</v>
      </c>
      <c r="B25" s="14" t="s">
        <v>881</v>
      </c>
      <c r="C25" s="14" t="s">
        <v>882</v>
      </c>
      <c r="D25" s="52" t="n">
        <v>14</v>
      </c>
      <c r="E25" s="52" t="n">
        <v>20</v>
      </c>
      <c r="F25" s="52" t="n">
        <v>30</v>
      </c>
      <c r="G25" s="26" t="n">
        <f aca="false">ROUND((D25+4*E25+F25)/6,0)</f>
        <v>21</v>
      </c>
      <c r="H25" s="27" t="n">
        <f aca="false">ROUND((F25-D25)/6,1)</f>
        <v>2.7</v>
      </c>
      <c r="I25" s="19"/>
    </row>
    <row r="26" customFormat="false" ht="25.5" hidden="false" customHeight="true" outlineLevel="0" collapsed="false">
      <c r="A26" s="17" t="s">
        <v>883</v>
      </c>
      <c r="B26" s="14" t="s">
        <v>884</v>
      </c>
      <c r="C26" s="14" t="s">
        <v>848</v>
      </c>
      <c r="D26" s="52" t="n">
        <v>16</v>
      </c>
      <c r="E26" s="52" t="n">
        <v>25</v>
      </c>
      <c r="F26" s="52" t="n">
        <v>40</v>
      </c>
      <c r="G26" s="26" t="n">
        <f aca="false">ROUND((D26+4*E26+F26)/6,0)</f>
        <v>26</v>
      </c>
      <c r="H26" s="27" t="n">
        <f aca="false">ROUND((F26-D26)/6,1)</f>
        <v>4</v>
      </c>
      <c r="I26" s="19"/>
    </row>
    <row r="27" customFormat="false" ht="25.5" hidden="false" customHeight="true" outlineLevel="0" collapsed="false">
      <c r="A27" s="54" t="s">
        <v>885</v>
      </c>
      <c r="B27" s="55" t="s">
        <v>886</v>
      </c>
      <c r="C27" s="55" t="s">
        <v>871</v>
      </c>
      <c r="D27" s="56" t="n">
        <v>14</v>
      </c>
      <c r="E27" s="56" t="n">
        <v>20</v>
      </c>
      <c r="F27" s="56" t="n">
        <v>32</v>
      </c>
      <c r="G27" s="57" t="n">
        <f aca="false">ROUND((D27+4*E27+F27)/6,0)</f>
        <v>21</v>
      </c>
      <c r="H27" s="58" t="n">
        <f aca="false">ROUND((F27-D27)/6,1)</f>
        <v>3</v>
      </c>
      <c r="I27" s="59" t="s">
        <v>887</v>
      </c>
    </row>
    <row r="28" customFormat="false" ht="25.5" hidden="false" customHeight="true" outlineLevel="0" collapsed="false">
      <c r="A28" s="17" t="s">
        <v>888</v>
      </c>
      <c r="B28" s="14" t="s">
        <v>889</v>
      </c>
      <c r="C28" s="14" t="s">
        <v>848</v>
      </c>
      <c r="D28" s="52" t="n">
        <v>13</v>
      </c>
      <c r="E28" s="52" t="n">
        <v>20</v>
      </c>
      <c r="F28" s="52" t="n">
        <v>32</v>
      </c>
      <c r="G28" s="26" t="n">
        <f aca="false">ROUND((D28+4*E28+F28)/6,0)</f>
        <v>21</v>
      </c>
      <c r="H28" s="27" t="n">
        <f aca="false">ROUND((F28-D28)/6,1)</f>
        <v>3.2</v>
      </c>
      <c r="I28" s="19"/>
    </row>
    <row r="29" customFormat="false" ht="25.5" hidden="false" customHeight="true" outlineLevel="0" collapsed="false">
      <c r="A29" s="17" t="s">
        <v>890</v>
      </c>
      <c r="B29" s="14" t="s">
        <v>891</v>
      </c>
      <c r="C29" s="14" t="s">
        <v>840</v>
      </c>
      <c r="D29" s="52" t="n">
        <v>8</v>
      </c>
      <c r="E29" s="52" t="n">
        <v>12</v>
      </c>
      <c r="F29" s="52" t="n">
        <v>20</v>
      </c>
      <c r="G29" s="26" t="n">
        <f aca="false">ROUND((D29+4*E29+F29)/6,0)</f>
        <v>13</v>
      </c>
      <c r="H29" s="27" t="n">
        <f aca="false">ROUND((F29-D29)/6,1)</f>
        <v>2</v>
      </c>
      <c r="I29" s="19" t="s">
        <v>892</v>
      </c>
    </row>
    <row r="30" customFormat="false" ht="15" hidden="false" customHeight="true" outlineLevel="0" collapsed="false">
      <c r="A30" s="28"/>
      <c r="B30" s="29" t="s">
        <v>893</v>
      </c>
      <c r="C30" s="28"/>
      <c r="D30" s="30" t="n">
        <f aca="false">SUM(D17:D29)</f>
        <v>234</v>
      </c>
      <c r="E30" s="30" t="n">
        <f aca="false">SUM(E17:E29)</f>
        <v>346</v>
      </c>
      <c r="F30" s="30" t="n">
        <f aca="false">SUM(F17:F29)</f>
        <v>529</v>
      </c>
      <c r="G30" s="30" t="n">
        <f aca="false">SUM(G17:G29)</f>
        <v>359</v>
      </c>
      <c r="H30" s="53" t="n">
        <f aca="false">ROUND(SQRT(SUMPRODUCT(H17:H29,H17:H29)),1)</f>
        <v>14.2</v>
      </c>
      <c r="I30" s="28"/>
    </row>
    <row r="32" customFormat="false" ht="15" hidden="false" customHeight="true" outlineLevel="0" collapsed="false">
      <c r="A32" s="11" t="s">
        <v>894</v>
      </c>
      <c r="B32" s="11" t="s">
        <v>895</v>
      </c>
      <c r="C32" s="15"/>
      <c r="D32" s="15"/>
      <c r="E32" s="15"/>
      <c r="F32" s="15"/>
      <c r="G32" s="15"/>
      <c r="H32" s="15"/>
      <c r="I32" s="15"/>
    </row>
    <row r="33" customFormat="false" ht="25.5" hidden="false" customHeight="true" outlineLevel="0" collapsed="false">
      <c r="A33" s="17" t="s">
        <v>99</v>
      </c>
      <c r="B33" s="14" t="s">
        <v>896</v>
      </c>
      <c r="C33" s="14" t="s">
        <v>852</v>
      </c>
      <c r="D33" s="52" t="n">
        <v>24</v>
      </c>
      <c r="E33" s="52" t="n">
        <v>34</v>
      </c>
      <c r="F33" s="52" t="n">
        <v>50</v>
      </c>
      <c r="G33" s="26" t="n">
        <f aca="false">ROUND((D33+4*E33+F33)/6,0)</f>
        <v>35</v>
      </c>
      <c r="H33" s="27" t="n">
        <f aca="false">ROUND((F33-D33)/6,1)</f>
        <v>4.3</v>
      </c>
      <c r="I33" s="19"/>
    </row>
    <row r="34" customFormat="false" ht="25.5" hidden="false" customHeight="true" outlineLevel="0" collapsed="false">
      <c r="A34" s="17" t="s">
        <v>103</v>
      </c>
      <c r="B34" s="14" t="s">
        <v>897</v>
      </c>
      <c r="C34" s="14" t="s">
        <v>852</v>
      </c>
      <c r="D34" s="52" t="n">
        <v>22</v>
      </c>
      <c r="E34" s="52" t="n">
        <v>32</v>
      </c>
      <c r="F34" s="52" t="n">
        <v>48</v>
      </c>
      <c r="G34" s="26" t="n">
        <f aca="false">ROUND((D34+4*E34+F34)/6,0)</f>
        <v>33</v>
      </c>
      <c r="H34" s="27" t="n">
        <f aca="false">ROUND((F34-D34)/6,1)</f>
        <v>4.3</v>
      </c>
      <c r="I34" s="19"/>
    </row>
    <row r="35" customFormat="false" ht="25.5" hidden="false" customHeight="true" outlineLevel="0" collapsed="false">
      <c r="A35" s="17" t="s">
        <v>107</v>
      </c>
      <c r="B35" s="14" t="s">
        <v>898</v>
      </c>
      <c r="C35" s="14" t="s">
        <v>861</v>
      </c>
      <c r="D35" s="52" t="n">
        <v>16</v>
      </c>
      <c r="E35" s="52" t="n">
        <v>24</v>
      </c>
      <c r="F35" s="52" t="n">
        <v>38</v>
      </c>
      <c r="G35" s="26" t="n">
        <f aca="false">ROUND((D35+4*E35+F35)/6,0)</f>
        <v>25</v>
      </c>
      <c r="H35" s="27" t="n">
        <f aca="false">ROUND((F35-D35)/6,1)</f>
        <v>3.7</v>
      </c>
      <c r="I35" s="19"/>
    </row>
    <row r="36" customFormat="false" ht="25.5" hidden="false" customHeight="true" outlineLevel="0" collapsed="false">
      <c r="A36" s="17" t="s">
        <v>618</v>
      </c>
      <c r="B36" s="14" t="s">
        <v>899</v>
      </c>
      <c r="C36" s="14" t="s">
        <v>875</v>
      </c>
      <c r="D36" s="52" t="n">
        <v>16</v>
      </c>
      <c r="E36" s="52" t="n">
        <v>24</v>
      </c>
      <c r="F36" s="52" t="n">
        <v>38</v>
      </c>
      <c r="G36" s="26" t="n">
        <f aca="false">ROUND((D36+4*E36+F36)/6,0)</f>
        <v>25</v>
      </c>
      <c r="H36" s="27" t="n">
        <f aca="false">ROUND((F36-D36)/6,1)</f>
        <v>3.7</v>
      </c>
      <c r="I36" s="19" t="s">
        <v>900</v>
      </c>
    </row>
    <row r="37" customFormat="false" ht="25.5" hidden="false" customHeight="true" outlineLevel="0" collapsed="false">
      <c r="A37" s="17" t="s">
        <v>621</v>
      </c>
      <c r="B37" s="14" t="s">
        <v>901</v>
      </c>
      <c r="C37" s="14" t="s">
        <v>875</v>
      </c>
      <c r="D37" s="52" t="n">
        <v>18</v>
      </c>
      <c r="E37" s="52" t="n">
        <v>26</v>
      </c>
      <c r="F37" s="52" t="n">
        <v>40</v>
      </c>
      <c r="G37" s="26" t="n">
        <f aca="false">ROUND((D37+4*E37+F37)/6,0)</f>
        <v>27</v>
      </c>
      <c r="H37" s="27" t="n">
        <f aca="false">ROUND((F37-D37)/6,1)</f>
        <v>3.7</v>
      </c>
      <c r="I37" s="19" t="s">
        <v>902</v>
      </c>
    </row>
    <row r="38" customFormat="false" ht="25.5" hidden="false" customHeight="true" outlineLevel="0" collapsed="false">
      <c r="A38" s="17" t="s">
        <v>624</v>
      </c>
      <c r="B38" s="14" t="s">
        <v>903</v>
      </c>
      <c r="C38" s="14" t="s">
        <v>852</v>
      </c>
      <c r="D38" s="52" t="n">
        <v>27</v>
      </c>
      <c r="E38" s="52" t="n">
        <v>40</v>
      </c>
      <c r="F38" s="52" t="n">
        <v>60</v>
      </c>
      <c r="G38" s="26" t="n">
        <f aca="false">ROUND((D38+4*E38+F38)/6,0)</f>
        <v>41</v>
      </c>
      <c r="H38" s="27" t="n">
        <f aca="false">ROUND((F38-D38)/6,1)</f>
        <v>5.5</v>
      </c>
      <c r="I38" s="19" t="s">
        <v>904</v>
      </c>
    </row>
    <row r="39" customFormat="false" ht="25.5" hidden="false" customHeight="true" outlineLevel="0" collapsed="false">
      <c r="A39" s="17" t="s">
        <v>905</v>
      </c>
      <c r="B39" s="14" t="s">
        <v>906</v>
      </c>
      <c r="C39" s="14" t="s">
        <v>875</v>
      </c>
      <c r="D39" s="52" t="n">
        <v>17</v>
      </c>
      <c r="E39" s="52" t="n">
        <v>25</v>
      </c>
      <c r="F39" s="52" t="n">
        <v>38</v>
      </c>
      <c r="G39" s="26" t="n">
        <f aca="false">ROUND((D39+4*E39+F39)/6,0)</f>
        <v>26</v>
      </c>
      <c r="H39" s="27" t="n">
        <f aca="false">ROUND((F39-D39)/6,1)</f>
        <v>3.5</v>
      </c>
      <c r="I39" s="19"/>
    </row>
    <row r="40" customFormat="false" ht="25.5" hidden="false" customHeight="true" outlineLevel="0" collapsed="false">
      <c r="A40" s="17" t="s">
        <v>907</v>
      </c>
      <c r="B40" s="14" t="s">
        <v>908</v>
      </c>
      <c r="C40" s="14" t="s">
        <v>858</v>
      </c>
      <c r="D40" s="52" t="n">
        <v>10</v>
      </c>
      <c r="E40" s="52" t="n">
        <v>15</v>
      </c>
      <c r="F40" s="52" t="n">
        <v>24</v>
      </c>
      <c r="G40" s="26" t="n">
        <f aca="false">ROUND((D40+4*E40+F40)/6,0)</f>
        <v>16</v>
      </c>
      <c r="H40" s="27" t="n">
        <f aca="false">ROUND((F40-D40)/6,1)</f>
        <v>2.3</v>
      </c>
      <c r="I40" s="19"/>
    </row>
    <row r="41" customFormat="false" ht="25.5" hidden="false" customHeight="true" outlineLevel="0" collapsed="false">
      <c r="A41" s="17" t="s">
        <v>909</v>
      </c>
      <c r="B41" s="14" t="s">
        <v>910</v>
      </c>
      <c r="C41" s="14" t="s">
        <v>911</v>
      </c>
      <c r="D41" s="52" t="n">
        <v>13</v>
      </c>
      <c r="E41" s="52" t="n">
        <v>20</v>
      </c>
      <c r="F41" s="52" t="n">
        <v>30</v>
      </c>
      <c r="G41" s="26" t="n">
        <f aca="false">ROUND((D41+4*E41+F41)/6,0)</f>
        <v>21</v>
      </c>
      <c r="H41" s="27" t="n">
        <f aca="false">ROUND((F41-D41)/6,1)</f>
        <v>2.8</v>
      </c>
      <c r="I41" s="19"/>
    </row>
    <row r="42" customFormat="false" ht="25.5" hidden="false" customHeight="true" outlineLevel="0" collapsed="false">
      <c r="A42" s="17" t="s">
        <v>912</v>
      </c>
      <c r="B42" s="14" t="s">
        <v>913</v>
      </c>
      <c r="C42" s="14" t="s">
        <v>914</v>
      </c>
      <c r="D42" s="52" t="n">
        <v>13</v>
      </c>
      <c r="E42" s="52" t="n">
        <v>20</v>
      </c>
      <c r="F42" s="52" t="n">
        <v>30</v>
      </c>
      <c r="G42" s="26" t="n">
        <f aca="false">ROUND((D42+4*E42+F42)/6,0)</f>
        <v>21</v>
      </c>
      <c r="H42" s="27" t="n">
        <f aca="false">ROUND((F42-D42)/6,1)</f>
        <v>2.8</v>
      </c>
      <c r="I42" s="19"/>
    </row>
    <row r="43" customFormat="false" ht="25.5" hidden="false" customHeight="true" outlineLevel="0" collapsed="false">
      <c r="A43" s="17" t="s">
        <v>915</v>
      </c>
      <c r="B43" s="14" t="s">
        <v>916</v>
      </c>
      <c r="C43" s="14" t="s">
        <v>917</v>
      </c>
      <c r="D43" s="52" t="n">
        <v>15</v>
      </c>
      <c r="E43" s="52" t="n">
        <v>22</v>
      </c>
      <c r="F43" s="52" t="n">
        <v>34</v>
      </c>
      <c r="G43" s="26" t="n">
        <f aca="false">ROUND((D43+4*E43+F43)/6,0)</f>
        <v>23</v>
      </c>
      <c r="H43" s="27" t="n">
        <f aca="false">ROUND((F43-D43)/6,1)</f>
        <v>3.2</v>
      </c>
      <c r="I43" s="19"/>
    </row>
    <row r="44" customFormat="false" ht="25.5" hidden="false" customHeight="true" outlineLevel="0" collapsed="false">
      <c r="A44" s="17" t="s">
        <v>918</v>
      </c>
      <c r="B44" s="14" t="s">
        <v>919</v>
      </c>
      <c r="C44" s="14" t="s">
        <v>852</v>
      </c>
      <c r="D44" s="52" t="n">
        <v>24</v>
      </c>
      <c r="E44" s="52" t="n">
        <v>35</v>
      </c>
      <c r="F44" s="52" t="n">
        <v>52</v>
      </c>
      <c r="G44" s="26" t="n">
        <f aca="false">ROUND((D44+4*E44+F44)/6,0)</f>
        <v>36</v>
      </c>
      <c r="H44" s="27" t="n">
        <f aca="false">ROUND((F44-D44)/6,1)</f>
        <v>4.7</v>
      </c>
      <c r="I44" s="19"/>
    </row>
    <row r="45" customFormat="false" ht="25.5" hidden="false" customHeight="true" outlineLevel="0" collapsed="false">
      <c r="A45" s="17" t="s">
        <v>920</v>
      </c>
      <c r="B45" s="14" t="s">
        <v>921</v>
      </c>
      <c r="C45" s="14" t="s">
        <v>840</v>
      </c>
      <c r="D45" s="52" t="n">
        <v>17</v>
      </c>
      <c r="E45" s="52" t="n">
        <v>25</v>
      </c>
      <c r="F45" s="52" t="n">
        <v>40</v>
      </c>
      <c r="G45" s="26" t="n">
        <f aca="false">ROUND((D45+4*E45+F45)/6,0)</f>
        <v>26</v>
      </c>
      <c r="H45" s="27" t="n">
        <f aca="false">ROUND((F45-D45)/6,1)</f>
        <v>3.8</v>
      </c>
      <c r="I45" s="19" t="s">
        <v>922</v>
      </c>
    </row>
    <row r="46" customFormat="false" ht="15" hidden="false" customHeight="true" outlineLevel="0" collapsed="false">
      <c r="A46" s="28"/>
      <c r="B46" s="29" t="s">
        <v>923</v>
      </c>
      <c r="C46" s="28"/>
      <c r="D46" s="30" t="n">
        <f aca="false">SUM(D33:D45)</f>
        <v>232</v>
      </c>
      <c r="E46" s="30" t="n">
        <f aca="false">SUM(E33:E45)</f>
        <v>342</v>
      </c>
      <c r="F46" s="30" t="n">
        <f aca="false">SUM(F33:F45)</f>
        <v>522</v>
      </c>
      <c r="G46" s="30" t="n">
        <f aca="false">SUM(G33:G45)</f>
        <v>355</v>
      </c>
      <c r="H46" s="53" t="n">
        <f aca="false">ROUND(SQRT(SUMPRODUCT(H33:H45,H33:H45)),1)</f>
        <v>13.7</v>
      </c>
      <c r="I46" s="28"/>
    </row>
    <row r="48" customFormat="false" ht="15" hidden="false" customHeight="true" outlineLevel="0" collapsed="false">
      <c r="A48" s="11" t="s">
        <v>924</v>
      </c>
      <c r="B48" s="11" t="s">
        <v>925</v>
      </c>
      <c r="C48" s="15"/>
      <c r="D48" s="15"/>
      <c r="E48" s="15"/>
      <c r="F48" s="15"/>
      <c r="G48" s="15"/>
      <c r="H48" s="15"/>
      <c r="I48" s="15"/>
    </row>
    <row r="49" customFormat="false" ht="25.5" hidden="false" customHeight="true" outlineLevel="0" collapsed="false">
      <c r="A49" s="17" t="s">
        <v>926</v>
      </c>
      <c r="B49" s="14" t="s">
        <v>927</v>
      </c>
      <c r="C49" s="14" t="s">
        <v>840</v>
      </c>
      <c r="D49" s="52" t="n">
        <v>48</v>
      </c>
      <c r="E49" s="52" t="n">
        <v>70</v>
      </c>
      <c r="F49" s="52" t="n">
        <v>105</v>
      </c>
      <c r="G49" s="26" t="n">
        <f aca="false">ROUND((D49+4*E49+F49)/6,0)</f>
        <v>72</v>
      </c>
      <c r="H49" s="27" t="n">
        <f aca="false">ROUND((F49-D49)/6,1)</f>
        <v>9.5</v>
      </c>
      <c r="I49" s="19"/>
    </row>
    <row r="50" customFormat="false" ht="25.5" hidden="false" customHeight="true" outlineLevel="0" collapsed="false">
      <c r="A50" s="17" t="s">
        <v>928</v>
      </c>
      <c r="B50" s="14" t="s">
        <v>929</v>
      </c>
      <c r="C50" s="14" t="s">
        <v>840</v>
      </c>
      <c r="D50" s="52" t="n">
        <v>20</v>
      </c>
      <c r="E50" s="52" t="n">
        <v>30</v>
      </c>
      <c r="F50" s="52" t="n">
        <v>46</v>
      </c>
      <c r="G50" s="26" t="n">
        <f aca="false">ROUND((D50+4*E50+F50)/6,0)</f>
        <v>31</v>
      </c>
      <c r="H50" s="27" t="n">
        <f aca="false">ROUND((F50-D50)/6,1)</f>
        <v>4.3</v>
      </c>
      <c r="I50" s="19"/>
    </row>
    <row r="51" customFormat="false" ht="25.5" hidden="false" customHeight="true" outlineLevel="0" collapsed="false">
      <c r="A51" s="17" t="s">
        <v>930</v>
      </c>
      <c r="B51" s="14" t="s">
        <v>931</v>
      </c>
      <c r="C51" s="14" t="s">
        <v>875</v>
      </c>
      <c r="D51" s="52" t="n">
        <v>8</v>
      </c>
      <c r="E51" s="52" t="n">
        <v>12</v>
      </c>
      <c r="F51" s="52" t="n">
        <v>20</v>
      </c>
      <c r="G51" s="26" t="n">
        <f aca="false">ROUND((D51+4*E51+F51)/6,0)</f>
        <v>13</v>
      </c>
      <c r="H51" s="27" t="n">
        <f aca="false">ROUND((F51-D51)/6,1)</f>
        <v>2</v>
      </c>
      <c r="I51" s="19"/>
    </row>
    <row r="52" customFormat="false" ht="25.5" hidden="false" customHeight="true" outlineLevel="0" collapsed="false">
      <c r="A52" s="17" t="s">
        <v>932</v>
      </c>
      <c r="B52" s="14" t="s">
        <v>933</v>
      </c>
      <c r="C52" s="14" t="s">
        <v>840</v>
      </c>
      <c r="D52" s="52" t="n">
        <v>10</v>
      </c>
      <c r="E52" s="52" t="n">
        <v>15</v>
      </c>
      <c r="F52" s="52" t="n">
        <v>24</v>
      </c>
      <c r="G52" s="26" t="n">
        <f aca="false">ROUND((D52+4*E52+F52)/6,0)</f>
        <v>16</v>
      </c>
      <c r="H52" s="27" t="n">
        <f aca="false">ROUND((F52-D52)/6,1)</f>
        <v>2.3</v>
      </c>
      <c r="I52" s="19"/>
    </row>
    <row r="53" customFormat="false" ht="25.5" hidden="false" customHeight="true" outlineLevel="0" collapsed="false">
      <c r="A53" s="17" t="s">
        <v>934</v>
      </c>
      <c r="B53" s="14" t="s">
        <v>935</v>
      </c>
      <c r="C53" s="14" t="s">
        <v>840</v>
      </c>
      <c r="D53" s="52" t="n">
        <v>14</v>
      </c>
      <c r="E53" s="52" t="n">
        <v>20</v>
      </c>
      <c r="F53" s="52" t="n">
        <v>32</v>
      </c>
      <c r="G53" s="26" t="n">
        <f aca="false">ROUND((D53+4*E53+F53)/6,0)</f>
        <v>21</v>
      </c>
      <c r="H53" s="27" t="n">
        <f aca="false">ROUND((F53-D53)/6,1)</f>
        <v>3</v>
      </c>
      <c r="I53" s="19" t="s">
        <v>936</v>
      </c>
    </row>
    <row r="54" customFormat="false" ht="25.5" hidden="false" customHeight="true" outlineLevel="0" collapsed="false">
      <c r="A54" s="17" t="s">
        <v>937</v>
      </c>
      <c r="B54" s="14" t="s">
        <v>938</v>
      </c>
      <c r="C54" s="14" t="s">
        <v>840</v>
      </c>
      <c r="D54" s="52" t="n">
        <v>3</v>
      </c>
      <c r="E54" s="52" t="n">
        <v>5</v>
      </c>
      <c r="F54" s="52" t="n">
        <v>9</v>
      </c>
      <c r="G54" s="26" t="n">
        <f aca="false">ROUND((D54+4*E54+F54)/6,0)</f>
        <v>5</v>
      </c>
      <c r="H54" s="27" t="n">
        <f aca="false">ROUND((F54-D54)/6,1)</f>
        <v>1</v>
      </c>
      <c r="I54" s="19"/>
    </row>
    <row r="55" customFormat="false" ht="25.5" hidden="false" customHeight="true" outlineLevel="0" collapsed="false">
      <c r="A55" s="17" t="s">
        <v>939</v>
      </c>
      <c r="B55" s="14" t="s">
        <v>940</v>
      </c>
      <c r="C55" s="14" t="s">
        <v>840</v>
      </c>
      <c r="D55" s="52" t="n">
        <v>8</v>
      </c>
      <c r="E55" s="52" t="n">
        <v>12</v>
      </c>
      <c r="F55" s="52" t="n">
        <v>20</v>
      </c>
      <c r="G55" s="26" t="n">
        <f aca="false">ROUND((D55+4*E55+F55)/6,0)</f>
        <v>13</v>
      </c>
      <c r="H55" s="27" t="n">
        <f aca="false">ROUND((F55-D55)/6,1)</f>
        <v>2</v>
      </c>
      <c r="I55" s="19" t="s">
        <v>941</v>
      </c>
    </row>
    <row r="56" customFormat="false" ht="25.5" hidden="false" customHeight="true" outlineLevel="0" collapsed="false">
      <c r="A56" s="17" t="s">
        <v>942</v>
      </c>
      <c r="B56" s="14" t="s">
        <v>943</v>
      </c>
      <c r="C56" s="14" t="s">
        <v>840</v>
      </c>
      <c r="D56" s="52" t="n">
        <v>17</v>
      </c>
      <c r="E56" s="52" t="n">
        <v>25</v>
      </c>
      <c r="F56" s="52" t="n">
        <v>40</v>
      </c>
      <c r="G56" s="26" t="n">
        <f aca="false">ROUND((D56+4*E56+F56)/6,0)</f>
        <v>26</v>
      </c>
      <c r="H56" s="27" t="n">
        <f aca="false">ROUND((F56-D56)/6,1)</f>
        <v>3.8</v>
      </c>
      <c r="I56" s="19" t="s">
        <v>944</v>
      </c>
    </row>
    <row r="57" customFormat="false" ht="25.5" hidden="false" customHeight="true" outlineLevel="0" collapsed="false">
      <c r="A57" s="54" t="s">
        <v>945</v>
      </c>
      <c r="B57" s="55" t="s">
        <v>946</v>
      </c>
      <c r="C57" s="55" t="s">
        <v>871</v>
      </c>
      <c r="D57" s="56" t="n">
        <v>16</v>
      </c>
      <c r="E57" s="56" t="n">
        <v>24</v>
      </c>
      <c r="F57" s="56" t="n">
        <v>40</v>
      </c>
      <c r="G57" s="57" t="n">
        <f aca="false">ROUND((D57+4*E57+F57)/6,0)</f>
        <v>25</v>
      </c>
      <c r="H57" s="58" t="n">
        <f aca="false">ROUND((F57-D57)/6,1)</f>
        <v>4</v>
      </c>
      <c r="I57" s="59" t="s">
        <v>947</v>
      </c>
    </row>
    <row r="58" customFormat="false" ht="25.5" hidden="false" customHeight="true" outlineLevel="0" collapsed="false">
      <c r="A58" s="54" t="s">
        <v>948</v>
      </c>
      <c r="B58" s="55" t="s">
        <v>949</v>
      </c>
      <c r="C58" s="55" t="s">
        <v>871</v>
      </c>
      <c r="D58" s="56" t="n">
        <v>8</v>
      </c>
      <c r="E58" s="56" t="n">
        <v>14</v>
      </c>
      <c r="F58" s="56" t="n">
        <v>24</v>
      </c>
      <c r="G58" s="57" t="n">
        <f aca="false">ROUND((D58+4*E58+F58)/6,0)</f>
        <v>15</v>
      </c>
      <c r="H58" s="58" t="n">
        <f aca="false">ROUND((F58-D58)/6,1)</f>
        <v>2.7</v>
      </c>
      <c r="I58" s="59" t="s">
        <v>950</v>
      </c>
    </row>
    <row r="59" customFormat="false" ht="25.5" hidden="false" customHeight="true" outlineLevel="0" collapsed="false">
      <c r="A59" s="17" t="s">
        <v>951</v>
      </c>
      <c r="B59" s="14" t="s">
        <v>952</v>
      </c>
      <c r="C59" s="14" t="s">
        <v>848</v>
      </c>
      <c r="D59" s="52" t="n">
        <v>30</v>
      </c>
      <c r="E59" s="52" t="n">
        <v>45</v>
      </c>
      <c r="F59" s="52" t="n">
        <v>68</v>
      </c>
      <c r="G59" s="26" t="n">
        <f aca="false">ROUND((D59+4*E59+F59)/6,0)</f>
        <v>46</v>
      </c>
      <c r="H59" s="27" t="n">
        <f aca="false">ROUND((F59-D59)/6,1)</f>
        <v>6.3</v>
      </c>
      <c r="I59" s="19" t="s">
        <v>953</v>
      </c>
    </row>
    <row r="60" customFormat="false" ht="25.5" hidden="false" customHeight="true" outlineLevel="0" collapsed="false">
      <c r="A60" s="17" t="s">
        <v>954</v>
      </c>
      <c r="B60" s="14" t="s">
        <v>955</v>
      </c>
      <c r="C60" s="14" t="s">
        <v>848</v>
      </c>
      <c r="D60" s="52" t="n">
        <v>20</v>
      </c>
      <c r="E60" s="52" t="n">
        <v>30</v>
      </c>
      <c r="F60" s="52" t="n">
        <v>48</v>
      </c>
      <c r="G60" s="26" t="n">
        <f aca="false">ROUND((D60+4*E60+F60)/6,0)</f>
        <v>31</v>
      </c>
      <c r="H60" s="27" t="n">
        <f aca="false">ROUND((F60-D60)/6,1)</f>
        <v>4.7</v>
      </c>
      <c r="I60" s="19"/>
    </row>
    <row r="61" customFormat="false" ht="15" hidden="false" customHeight="true" outlineLevel="0" collapsed="false">
      <c r="A61" s="28"/>
      <c r="B61" s="29" t="s">
        <v>956</v>
      </c>
      <c r="C61" s="28"/>
      <c r="D61" s="30" t="n">
        <f aca="false">SUM(D49:D60)</f>
        <v>202</v>
      </c>
      <c r="E61" s="30" t="n">
        <f aca="false">SUM(E49:E60)</f>
        <v>302</v>
      </c>
      <c r="F61" s="30" t="n">
        <f aca="false">SUM(F49:F60)</f>
        <v>476</v>
      </c>
      <c r="G61" s="30" t="n">
        <f aca="false">SUM(G49:G60)</f>
        <v>314</v>
      </c>
      <c r="H61" s="53" t="n">
        <f aca="false">ROUND(SQRT(SUMPRODUCT(H49:H60,H49:H60)),1)</f>
        <v>15.2</v>
      </c>
      <c r="I61" s="28"/>
    </row>
    <row r="63" customFormat="false" ht="15" hidden="false" customHeight="true" outlineLevel="0" collapsed="false">
      <c r="A63" s="11" t="s">
        <v>957</v>
      </c>
      <c r="B63" s="11" t="s">
        <v>958</v>
      </c>
      <c r="C63" s="15"/>
      <c r="D63" s="15"/>
      <c r="E63" s="15"/>
      <c r="F63" s="15"/>
      <c r="G63" s="15"/>
      <c r="H63" s="15"/>
      <c r="I63" s="15"/>
    </row>
    <row r="64" customFormat="false" ht="25.5" hidden="false" customHeight="true" outlineLevel="0" collapsed="false">
      <c r="A64" s="17" t="s">
        <v>666</v>
      </c>
      <c r="B64" s="14" t="s">
        <v>959</v>
      </c>
      <c r="C64" s="14" t="s">
        <v>840</v>
      </c>
      <c r="D64" s="52" t="n">
        <v>18</v>
      </c>
      <c r="E64" s="52" t="n">
        <v>26</v>
      </c>
      <c r="F64" s="52" t="n">
        <v>40</v>
      </c>
      <c r="G64" s="26" t="n">
        <f aca="false">ROUND((D64+4*E64+F64)/6,0)</f>
        <v>27</v>
      </c>
      <c r="H64" s="27" t="n">
        <f aca="false">ROUND((F64-D64)/6,1)</f>
        <v>3.7</v>
      </c>
      <c r="I64" s="19"/>
    </row>
    <row r="65" customFormat="false" ht="25.5" hidden="false" customHeight="true" outlineLevel="0" collapsed="false">
      <c r="A65" s="17" t="s">
        <v>668</v>
      </c>
      <c r="B65" s="14" t="s">
        <v>960</v>
      </c>
      <c r="C65" s="14" t="s">
        <v>840</v>
      </c>
      <c r="D65" s="52" t="n">
        <v>45</v>
      </c>
      <c r="E65" s="52" t="n">
        <v>68</v>
      </c>
      <c r="F65" s="52" t="n">
        <v>100</v>
      </c>
      <c r="G65" s="26" t="n">
        <f aca="false">ROUND((D65+4*E65+F65)/6,0)</f>
        <v>70</v>
      </c>
      <c r="H65" s="27" t="n">
        <f aca="false">ROUND((F65-D65)/6,1)</f>
        <v>9.2</v>
      </c>
      <c r="I65" s="19"/>
    </row>
    <row r="66" customFormat="false" ht="25.5" hidden="false" customHeight="true" outlineLevel="0" collapsed="false">
      <c r="A66" s="17" t="s">
        <v>961</v>
      </c>
      <c r="B66" s="14" t="s">
        <v>962</v>
      </c>
      <c r="C66" s="14" t="s">
        <v>840</v>
      </c>
      <c r="D66" s="52" t="n">
        <v>35</v>
      </c>
      <c r="E66" s="52" t="n">
        <v>52</v>
      </c>
      <c r="F66" s="52" t="n">
        <v>78</v>
      </c>
      <c r="G66" s="26" t="n">
        <f aca="false">ROUND((D66+4*E66+F66)/6,0)</f>
        <v>54</v>
      </c>
      <c r="H66" s="27" t="n">
        <f aca="false">ROUND((F66-D66)/6,1)</f>
        <v>7.2</v>
      </c>
      <c r="I66" s="19"/>
    </row>
    <row r="67" customFormat="false" ht="25.5" hidden="false" customHeight="true" outlineLevel="0" collapsed="false">
      <c r="A67" s="17" t="s">
        <v>963</v>
      </c>
      <c r="B67" s="14" t="s">
        <v>964</v>
      </c>
      <c r="C67" s="14" t="s">
        <v>840</v>
      </c>
      <c r="D67" s="52" t="n">
        <v>14</v>
      </c>
      <c r="E67" s="52" t="n">
        <v>20</v>
      </c>
      <c r="F67" s="52" t="n">
        <v>32</v>
      </c>
      <c r="G67" s="26" t="n">
        <f aca="false">ROUND((D67+4*E67+F67)/6,0)</f>
        <v>21</v>
      </c>
      <c r="H67" s="27" t="n">
        <f aca="false">ROUND((F67-D67)/6,1)</f>
        <v>3</v>
      </c>
      <c r="I67" s="19" t="s">
        <v>965</v>
      </c>
    </row>
    <row r="68" customFormat="false" ht="25.5" hidden="false" customHeight="true" outlineLevel="0" collapsed="false">
      <c r="A68" s="17" t="s">
        <v>966</v>
      </c>
      <c r="B68" s="14" t="s">
        <v>967</v>
      </c>
      <c r="C68" s="14" t="s">
        <v>848</v>
      </c>
      <c r="D68" s="52" t="n">
        <v>14</v>
      </c>
      <c r="E68" s="52" t="n">
        <v>20</v>
      </c>
      <c r="F68" s="52" t="n">
        <v>32</v>
      </c>
      <c r="G68" s="26" t="n">
        <f aca="false">ROUND((D68+4*E68+F68)/6,0)</f>
        <v>21</v>
      </c>
      <c r="H68" s="27" t="n">
        <f aca="false">ROUND((F68-D68)/6,1)</f>
        <v>3</v>
      </c>
      <c r="I68" s="19"/>
    </row>
    <row r="69" customFormat="false" ht="25.5" hidden="false" customHeight="true" outlineLevel="0" collapsed="false">
      <c r="A69" s="17" t="s">
        <v>968</v>
      </c>
      <c r="B69" s="14" t="s">
        <v>969</v>
      </c>
      <c r="C69" s="14" t="s">
        <v>848</v>
      </c>
      <c r="D69" s="52" t="n">
        <v>18</v>
      </c>
      <c r="E69" s="52" t="n">
        <v>26</v>
      </c>
      <c r="F69" s="52" t="n">
        <v>40</v>
      </c>
      <c r="G69" s="26" t="n">
        <f aca="false">ROUND((D69+4*E69+F69)/6,0)</f>
        <v>27</v>
      </c>
      <c r="H69" s="27" t="n">
        <f aca="false">ROUND((F69-D69)/6,1)</f>
        <v>3.7</v>
      </c>
      <c r="I69" s="19"/>
    </row>
    <row r="70" customFormat="false" ht="25.5" hidden="false" customHeight="true" outlineLevel="0" collapsed="false">
      <c r="A70" s="17" t="s">
        <v>970</v>
      </c>
      <c r="B70" s="14" t="s">
        <v>971</v>
      </c>
      <c r="C70" s="14" t="s">
        <v>840</v>
      </c>
      <c r="D70" s="52" t="n">
        <v>20</v>
      </c>
      <c r="E70" s="52" t="n">
        <v>30</v>
      </c>
      <c r="F70" s="52" t="n">
        <v>46</v>
      </c>
      <c r="G70" s="26" t="n">
        <f aca="false">ROUND((D70+4*E70+F70)/6,0)</f>
        <v>31</v>
      </c>
      <c r="H70" s="27" t="n">
        <f aca="false">ROUND((F70-D70)/6,1)</f>
        <v>4.3</v>
      </c>
      <c r="I70" s="19"/>
    </row>
    <row r="71" customFormat="false" ht="15" hidden="false" customHeight="true" outlineLevel="0" collapsed="false">
      <c r="A71" s="28"/>
      <c r="B71" s="29" t="s">
        <v>972</v>
      </c>
      <c r="C71" s="28"/>
      <c r="D71" s="30" t="n">
        <f aca="false">SUM(D64:D70)</f>
        <v>164</v>
      </c>
      <c r="E71" s="30" t="n">
        <f aca="false">SUM(E64:E70)</f>
        <v>242</v>
      </c>
      <c r="F71" s="30" t="n">
        <f aca="false">SUM(F64:F70)</f>
        <v>368</v>
      </c>
      <c r="G71" s="30" t="n">
        <f aca="false">SUM(G64:G70)</f>
        <v>251</v>
      </c>
      <c r="H71" s="53" t="n">
        <f aca="false">ROUND(SQRT(SUMPRODUCT(H64:H70,H64:H70)),1)</f>
        <v>14.2</v>
      </c>
      <c r="I71" s="28"/>
    </row>
    <row r="73" customFormat="false" ht="15" hidden="false" customHeight="true" outlineLevel="0" collapsed="false">
      <c r="A73" s="11" t="s">
        <v>973</v>
      </c>
      <c r="B73" s="11" t="s">
        <v>974</v>
      </c>
      <c r="C73" s="15"/>
      <c r="D73" s="15"/>
      <c r="E73" s="15"/>
      <c r="F73" s="15"/>
      <c r="G73" s="15"/>
      <c r="H73" s="15"/>
      <c r="I73" s="15"/>
    </row>
    <row r="74" customFormat="false" ht="25.5" hidden="false" customHeight="true" outlineLevel="0" collapsed="false">
      <c r="A74" s="17" t="s">
        <v>975</v>
      </c>
      <c r="B74" s="14" t="s">
        <v>976</v>
      </c>
      <c r="C74" s="14" t="s">
        <v>977</v>
      </c>
      <c r="D74" s="52" t="n">
        <v>60</v>
      </c>
      <c r="E74" s="52" t="n">
        <v>90</v>
      </c>
      <c r="F74" s="52" t="n">
        <v>135</v>
      </c>
      <c r="G74" s="26" t="n">
        <f aca="false">ROUND((D74+4*E74+F74)/6,0)</f>
        <v>93</v>
      </c>
      <c r="H74" s="27" t="n">
        <f aca="false">ROUND((F74-D74)/6,1)</f>
        <v>12.5</v>
      </c>
      <c r="I74" s="19"/>
    </row>
    <row r="75" customFormat="false" ht="25.5" hidden="false" customHeight="true" outlineLevel="0" collapsed="false">
      <c r="A75" s="17" t="s">
        <v>978</v>
      </c>
      <c r="B75" s="14" t="s">
        <v>979</v>
      </c>
      <c r="C75" s="14" t="s">
        <v>977</v>
      </c>
      <c r="D75" s="52" t="n">
        <v>25</v>
      </c>
      <c r="E75" s="52" t="n">
        <v>38</v>
      </c>
      <c r="F75" s="52" t="n">
        <v>56</v>
      </c>
      <c r="G75" s="26" t="n">
        <f aca="false">ROUND((D75+4*E75+F75)/6,0)</f>
        <v>39</v>
      </c>
      <c r="H75" s="27" t="n">
        <f aca="false">ROUND((F75-D75)/6,1)</f>
        <v>5.2</v>
      </c>
      <c r="I75" s="19"/>
    </row>
    <row r="76" customFormat="false" ht="25.5" hidden="false" customHeight="true" outlineLevel="0" collapsed="false">
      <c r="A76" s="17" t="s">
        <v>980</v>
      </c>
      <c r="B76" s="14" t="s">
        <v>981</v>
      </c>
      <c r="C76" s="14" t="s">
        <v>977</v>
      </c>
      <c r="D76" s="52" t="n">
        <v>18</v>
      </c>
      <c r="E76" s="52" t="n">
        <v>28</v>
      </c>
      <c r="F76" s="52" t="n">
        <v>44</v>
      </c>
      <c r="G76" s="26" t="n">
        <f aca="false">ROUND((D76+4*E76+F76)/6,0)</f>
        <v>29</v>
      </c>
      <c r="H76" s="27" t="n">
        <f aca="false">ROUND((F76-D76)/6,1)</f>
        <v>4.3</v>
      </c>
      <c r="I76" s="19"/>
    </row>
    <row r="77" customFormat="false" ht="25.5" hidden="false" customHeight="true" outlineLevel="0" collapsed="false">
      <c r="A77" s="17" t="s">
        <v>982</v>
      </c>
      <c r="B77" s="14" t="s">
        <v>983</v>
      </c>
      <c r="C77" s="14" t="s">
        <v>977</v>
      </c>
      <c r="D77" s="52" t="n">
        <v>12</v>
      </c>
      <c r="E77" s="52" t="n">
        <v>18</v>
      </c>
      <c r="F77" s="52" t="n">
        <v>28</v>
      </c>
      <c r="G77" s="26" t="n">
        <f aca="false">ROUND((D77+4*E77+F77)/6,0)</f>
        <v>19</v>
      </c>
      <c r="H77" s="27" t="n">
        <f aca="false">ROUND((F77-D77)/6,1)</f>
        <v>2.7</v>
      </c>
      <c r="I77" s="19"/>
    </row>
    <row r="78" customFormat="false" ht="25.5" hidden="false" customHeight="true" outlineLevel="0" collapsed="false">
      <c r="A78" s="17" t="s">
        <v>984</v>
      </c>
      <c r="B78" s="14" t="s">
        <v>985</v>
      </c>
      <c r="C78" s="14" t="s">
        <v>977</v>
      </c>
      <c r="D78" s="52" t="n">
        <v>20</v>
      </c>
      <c r="E78" s="52" t="n">
        <v>30</v>
      </c>
      <c r="F78" s="52" t="n">
        <v>48</v>
      </c>
      <c r="G78" s="26" t="n">
        <f aca="false">ROUND((D78+4*E78+F78)/6,0)</f>
        <v>31</v>
      </c>
      <c r="H78" s="27" t="n">
        <f aca="false">ROUND((F78-D78)/6,1)</f>
        <v>4.7</v>
      </c>
      <c r="I78" s="19"/>
    </row>
    <row r="79" customFormat="false" ht="15" hidden="false" customHeight="true" outlineLevel="0" collapsed="false">
      <c r="A79" s="28"/>
      <c r="B79" s="29" t="s">
        <v>986</v>
      </c>
      <c r="C79" s="28"/>
      <c r="D79" s="30" t="n">
        <f aca="false">SUM(D74:D78)</f>
        <v>135</v>
      </c>
      <c r="E79" s="30" t="n">
        <f aca="false">SUM(E74:E78)</f>
        <v>204</v>
      </c>
      <c r="F79" s="30" t="n">
        <f aca="false">SUM(F74:F78)</f>
        <v>311</v>
      </c>
      <c r="G79" s="30" t="n">
        <f aca="false">SUM(G74:G78)</f>
        <v>211</v>
      </c>
      <c r="H79" s="53" t="n">
        <f aca="false">ROUND(SQRT(SUMPRODUCT(H74:H78,H74:H78)),1)</f>
        <v>15.2</v>
      </c>
      <c r="I79" s="28"/>
    </row>
    <row r="81" customFormat="false" ht="15" hidden="false" customHeight="true" outlineLevel="0" collapsed="false">
      <c r="A81" s="31"/>
      <c r="B81" s="32" t="s">
        <v>987</v>
      </c>
      <c r="C81" s="31"/>
      <c r="D81" s="33" t="n">
        <f aca="false">D8+D14+D30+D46+D61+D71+D79</f>
        <v>1067</v>
      </c>
      <c r="E81" s="33" t="n">
        <f aca="false">E8+E14+E30+E46+E61+E71+E79</f>
        <v>1586</v>
      </c>
      <c r="F81" s="33" t="n">
        <f aca="false">F8+F14+F30+F46+F61+F71+F79</f>
        <v>2435</v>
      </c>
      <c r="G81" s="33" t="n">
        <f aca="false">G8+G14+G30+G46+G61+G71+G79</f>
        <v>1645</v>
      </c>
      <c r="H81" s="60" t="n">
        <f aca="false">ROUND(SQRT(H8^2+H14^2+H30^2+H46^2+H61^2+H71^2+H79^2),1)</f>
        <v>33.9</v>
      </c>
      <c r="I81" s="31"/>
    </row>
  </sheetData>
  <sheetProtection sheet="true"/>
  <dataValidations count="1">
    <dataValidation allowBlank="true" error="This must be a number of zero or more." errorStyle="stop" errorTitle="Not a number" operator="between" prompt="This must be a number of zero or more." promptTitle="Input cell" showDropDown="false" showErrorMessage="true" showInputMessage="false" sqref="D6:F7 D11:F13 D17:F29 D33:F45 D49:F60 D64:F70 D74:F78" type="decimal">
      <formula1>0</formula1>
      <formula2>1000000000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4"/>
    <col collapsed="false" customWidth="true" hidden="false" outlineLevel="0" max="3" min="3" style="1" width="15"/>
    <col collapsed="false" customWidth="true" hidden="false" outlineLevel="0" max="4" min="4" style="1" width="8"/>
    <col collapsed="false" customWidth="true" hidden="false" outlineLevel="0" max="6" min="5" style="1" width="9"/>
    <col collapsed="false" customWidth="true" hidden="false" outlineLevel="0" max="7" min="7" style="1" width="11"/>
    <col collapsed="false" customWidth="true" hidden="false" outlineLevel="0" max="8" min="8" style="1" width="9"/>
    <col collapsed="false" customWidth="true" hidden="false" outlineLevel="0" max="9" min="9" style="1" width="56"/>
  </cols>
  <sheetData>
    <row r="1" customFormat="false" ht="17.25" hidden="false" customHeight="true" outlineLevel="0" collapsed="false">
      <c r="A1" s="2" t="s">
        <v>988</v>
      </c>
    </row>
    <row r="2" customFormat="false" ht="15" hidden="false" customHeight="true" outlineLevel="0" collapsed="false">
      <c r="A2" s="3" t="s">
        <v>834</v>
      </c>
    </row>
    <row r="4" customFormat="false" ht="30" hidden="false" customHeight="true" outlineLevel="0" collapsed="false">
      <c r="A4" s="16" t="s">
        <v>95</v>
      </c>
      <c r="B4" s="16" t="s">
        <v>835</v>
      </c>
      <c r="C4" s="16" t="s">
        <v>713</v>
      </c>
      <c r="D4" s="16" t="s">
        <v>563</v>
      </c>
      <c r="E4" s="16" t="s">
        <v>564</v>
      </c>
      <c r="F4" s="16" t="s">
        <v>565</v>
      </c>
      <c r="G4" s="16" t="s">
        <v>566</v>
      </c>
      <c r="H4" s="16" t="s">
        <v>567</v>
      </c>
      <c r="I4" s="16" t="s">
        <v>836</v>
      </c>
    </row>
    <row r="5" customFormat="false" ht="15" hidden="false" customHeight="true" outlineLevel="0" collapsed="false">
      <c r="A5" s="11" t="s">
        <v>989</v>
      </c>
      <c r="B5" s="11" t="s">
        <v>990</v>
      </c>
      <c r="C5" s="15"/>
      <c r="D5" s="15"/>
      <c r="E5" s="15"/>
      <c r="F5" s="15"/>
      <c r="G5" s="15"/>
      <c r="H5" s="15"/>
      <c r="I5" s="15"/>
    </row>
    <row r="6" customFormat="false" ht="25.5" hidden="false" customHeight="true" outlineLevel="0" collapsed="false">
      <c r="A6" s="17" t="s">
        <v>991</v>
      </c>
      <c r="B6" s="14" t="s">
        <v>992</v>
      </c>
      <c r="C6" s="14" t="s">
        <v>993</v>
      </c>
      <c r="D6" s="52" t="n">
        <v>18</v>
      </c>
      <c r="E6" s="52" t="n">
        <v>28</v>
      </c>
      <c r="F6" s="52" t="n">
        <v>44</v>
      </c>
      <c r="G6" s="26" t="n">
        <f aca="false">ROUND((D6+4*E6+F6)/6,0)</f>
        <v>29</v>
      </c>
      <c r="H6" s="27" t="n">
        <f aca="false">ROUND((F6-D6)/6,1)</f>
        <v>4.3</v>
      </c>
      <c r="I6" s="19"/>
    </row>
    <row r="7" customFormat="false" ht="25.5" hidden="false" customHeight="true" outlineLevel="0" collapsed="false">
      <c r="A7" s="54" t="s">
        <v>994</v>
      </c>
      <c r="B7" s="55" t="s">
        <v>995</v>
      </c>
      <c r="C7" s="55" t="s">
        <v>871</v>
      </c>
      <c r="D7" s="56" t="n">
        <v>8</v>
      </c>
      <c r="E7" s="56" t="n">
        <v>13</v>
      </c>
      <c r="F7" s="56" t="n">
        <v>22</v>
      </c>
      <c r="G7" s="57" t="n">
        <f aca="false">ROUND((D7+4*E7+F7)/6,0)</f>
        <v>14</v>
      </c>
      <c r="H7" s="58" t="n">
        <f aca="false">ROUND((F7-D7)/6,1)</f>
        <v>2.3</v>
      </c>
      <c r="I7" s="59" t="s">
        <v>996</v>
      </c>
    </row>
    <row r="8" customFormat="false" ht="15" hidden="false" customHeight="true" outlineLevel="0" collapsed="false">
      <c r="A8" s="28"/>
      <c r="B8" s="29" t="s">
        <v>997</v>
      </c>
      <c r="C8" s="28"/>
      <c r="D8" s="30" t="n">
        <f aca="false">SUM(D6:D7)</f>
        <v>26</v>
      </c>
      <c r="E8" s="30" t="n">
        <f aca="false">SUM(E6:E7)</f>
        <v>41</v>
      </c>
      <c r="F8" s="30" t="n">
        <f aca="false">SUM(F6:F7)</f>
        <v>66</v>
      </c>
      <c r="G8" s="30" t="n">
        <f aca="false">SUM(G6:G7)</f>
        <v>43</v>
      </c>
      <c r="H8" s="53" t="n">
        <f aca="false">ROUND(SQRT(SUMPRODUCT(H6:H7,H6:H7)),1)</f>
        <v>4.9</v>
      </c>
      <c r="I8" s="28"/>
    </row>
    <row r="10" customFormat="false" ht="15" hidden="false" customHeight="true" outlineLevel="0" collapsed="false">
      <c r="A10" s="11" t="s">
        <v>998</v>
      </c>
      <c r="B10" s="11" t="s">
        <v>846</v>
      </c>
      <c r="C10" s="15"/>
      <c r="D10" s="15"/>
      <c r="E10" s="15"/>
      <c r="F10" s="15"/>
      <c r="G10" s="15"/>
      <c r="H10" s="15"/>
      <c r="I10" s="15"/>
    </row>
    <row r="11" customFormat="false" ht="25.5" hidden="false" customHeight="true" outlineLevel="0" collapsed="false">
      <c r="A11" s="17" t="s">
        <v>999</v>
      </c>
      <c r="B11" s="14" t="s">
        <v>1000</v>
      </c>
      <c r="C11" s="14" t="s">
        <v>993</v>
      </c>
      <c r="D11" s="52" t="n">
        <v>20</v>
      </c>
      <c r="E11" s="52" t="n">
        <v>30</v>
      </c>
      <c r="F11" s="52" t="n">
        <v>46</v>
      </c>
      <c r="G11" s="26" t="n">
        <f aca="false">ROUND((D11+4*E11+F11)/6,0)</f>
        <v>31</v>
      </c>
      <c r="H11" s="27" t="n">
        <f aca="false">ROUND((F11-D11)/6,1)</f>
        <v>4.3</v>
      </c>
      <c r="I11" s="19" t="s">
        <v>1001</v>
      </c>
    </row>
    <row r="12" customFormat="false" ht="25.5" hidden="false" customHeight="true" outlineLevel="0" collapsed="false">
      <c r="A12" s="17" t="s">
        <v>1002</v>
      </c>
      <c r="B12" s="14" t="s">
        <v>1003</v>
      </c>
      <c r="C12" s="14" t="s">
        <v>1004</v>
      </c>
      <c r="D12" s="52" t="n">
        <v>28</v>
      </c>
      <c r="E12" s="52" t="n">
        <v>42</v>
      </c>
      <c r="F12" s="52" t="n">
        <v>62</v>
      </c>
      <c r="G12" s="26" t="n">
        <f aca="false">ROUND((D12+4*E12+F12)/6,0)</f>
        <v>43</v>
      </c>
      <c r="H12" s="27" t="n">
        <f aca="false">ROUND((F12-D12)/6,1)</f>
        <v>5.7</v>
      </c>
      <c r="I12" s="19"/>
    </row>
    <row r="13" customFormat="false" ht="25.5" hidden="false" customHeight="true" outlineLevel="0" collapsed="false">
      <c r="A13" s="17" t="s">
        <v>1005</v>
      </c>
      <c r="B13" s="14" t="s">
        <v>1006</v>
      </c>
      <c r="C13" s="14" t="s">
        <v>1007</v>
      </c>
      <c r="D13" s="52" t="n">
        <v>10</v>
      </c>
      <c r="E13" s="52" t="n">
        <v>16</v>
      </c>
      <c r="F13" s="52" t="n">
        <v>26</v>
      </c>
      <c r="G13" s="26" t="n">
        <f aca="false">ROUND((D13+4*E13+F13)/6,0)</f>
        <v>17</v>
      </c>
      <c r="H13" s="27" t="n">
        <f aca="false">ROUND((F13-D13)/6,1)</f>
        <v>2.7</v>
      </c>
      <c r="I13" s="19"/>
    </row>
    <row r="14" customFormat="false" ht="15" hidden="false" customHeight="true" outlineLevel="0" collapsed="false">
      <c r="A14" s="28"/>
      <c r="B14" s="29" t="s">
        <v>1008</v>
      </c>
      <c r="C14" s="28"/>
      <c r="D14" s="30" t="n">
        <f aca="false">SUM(D11:D13)</f>
        <v>58</v>
      </c>
      <c r="E14" s="30" t="n">
        <f aca="false">SUM(E11:E13)</f>
        <v>88</v>
      </c>
      <c r="F14" s="30" t="n">
        <f aca="false">SUM(F11:F13)</f>
        <v>134</v>
      </c>
      <c r="G14" s="30" t="n">
        <f aca="false">SUM(G11:G13)</f>
        <v>91</v>
      </c>
      <c r="H14" s="53" t="n">
        <f aca="false">ROUND(SQRT(SUMPRODUCT(H11:H13,H11:H13)),1)</f>
        <v>7.6</v>
      </c>
      <c r="I14" s="28"/>
    </row>
    <row r="16" customFormat="false" ht="15" hidden="false" customHeight="true" outlineLevel="0" collapsed="false">
      <c r="A16" s="11" t="s">
        <v>1009</v>
      </c>
      <c r="B16" s="11" t="s">
        <v>1010</v>
      </c>
      <c r="C16" s="15"/>
      <c r="D16" s="15"/>
      <c r="E16" s="15"/>
      <c r="F16" s="15"/>
      <c r="G16" s="15"/>
      <c r="H16" s="15"/>
      <c r="I16" s="15"/>
    </row>
    <row r="17" customFormat="false" ht="25.5" hidden="false" customHeight="true" outlineLevel="0" collapsed="false">
      <c r="A17" s="17" t="s">
        <v>1011</v>
      </c>
      <c r="B17" s="14" t="s">
        <v>1012</v>
      </c>
      <c r="C17" s="14" t="s">
        <v>1013</v>
      </c>
      <c r="D17" s="52" t="n">
        <v>16</v>
      </c>
      <c r="E17" s="52" t="n">
        <v>24</v>
      </c>
      <c r="F17" s="52" t="n">
        <v>38</v>
      </c>
      <c r="G17" s="26" t="n">
        <f aca="false">ROUND((D17+4*E17+F17)/6,0)</f>
        <v>25</v>
      </c>
      <c r="H17" s="27" t="n">
        <f aca="false">ROUND((F17-D17)/6,1)</f>
        <v>3.7</v>
      </c>
      <c r="I17" s="19" t="s">
        <v>1014</v>
      </c>
    </row>
    <row r="18" customFormat="false" ht="25.5" hidden="false" customHeight="true" outlineLevel="0" collapsed="false">
      <c r="A18" s="17" t="s">
        <v>1015</v>
      </c>
      <c r="B18" s="14" t="s">
        <v>1016</v>
      </c>
      <c r="C18" s="14" t="s">
        <v>1017</v>
      </c>
      <c r="D18" s="52" t="n">
        <v>14</v>
      </c>
      <c r="E18" s="52" t="n">
        <v>20</v>
      </c>
      <c r="F18" s="52" t="n">
        <v>32</v>
      </c>
      <c r="G18" s="26" t="n">
        <f aca="false">ROUND((D18+4*E18+F18)/6,0)</f>
        <v>21</v>
      </c>
      <c r="H18" s="27" t="n">
        <f aca="false">ROUND((F18-D18)/6,1)</f>
        <v>3</v>
      </c>
      <c r="I18" s="19"/>
    </row>
    <row r="19" customFormat="false" ht="25.5" hidden="false" customHeight="true" outlineLevel="0" collapsed="false">
      <c r="A19" s="17" t="s">
        <v>1018</v>
      </c>
      <c r="B19" s="14" t="s">
        <v>1019</v>
      </c>
      <c r="C19" s="14" t="s">
        <v>1017</v>
      </c>
      <c r="D19" s="52" t="n">
        <v>8</v>
      </c>
      <c r="E19" s="52" t="n">
        <v>12</v>
      </c>
      <c r="F19" s="52" t="n">
        <v>20</v>
      </c>
      <c r="G19" s="26" t="n">
        <f aca="false">ROUND((D19+4*E19+F19)/6,0)</f>
        <v>13</v>
      </c>
      <c r="H19" s="27" t="n">
        <f aca="false">ROUND((F19-D19)/6,1)</f>
        <v>2</v>
      </c>
      <c r="I19" s="19"/>
    </row>
    <row r="20" customFormat="false" ht="25.5" hidden="false" customHeight="true" outlineLevel="0" collapsed="false">
      <c r="A20" s="17" t="s">
        <v>1020</v>
      </c>
      <c r="B20" s="14" t="s">
        <v>1021</v>
      </c>
      <c r="C20" s="14" t="s">
        <v>1017</v>
      </c>
      <c r="D20" s="52" t="n">
        <v>7</v>
      </c>
      <c r="E20" s="52" t="n">
        <v>10</v>
      </c>
      <c r="F20" s="52" t="n">
        <v>16</v>
      </c>
      <c r="G20" s="26" t="n">
        <f aca="false">ROUND((D20+4*E20+F20)/6,0)</f>
        <v>11</v>
      </c>
      <c r="H20" s="27" t="n">
        <f aca="false">ROUND((F20-D20)/6,1)</f>
        <v>1.5</v>
      </c>
      <c r="I20" s="19"/>
    </row>
    <row r="21" customFormat="false" ht="25.5" hidden="false" customHeight="true" outlineLevel="0" collapsed="false">
      <c r="A21" s="17" t="s">
        <v>1022</v>
      </c>
      <c r="B21" s="14" t="s">
        <v>1023</v>
      </c>
      <c r="C21" s="14" t="s">
        <v>1017</v>
      </c>
      <c r="D21" s="52" t="n">
        <v>8</v>
      </c>
      <c r="E21" s="52" t="n">
        <v>12</v>
      </c>
      <c r="F21" s="52" t="n">
        <v>20</v>
      </c>
      <c r="G21" s="26" t="n">
        <f aca="false">ROUND((D21+4*E21+F21)/6,0)</f>
        <v>13</v>
      </c>
      <c r="H21" s="27" t="n">
        <f aca="false">ROUND((F21-D21)/6,1)</f>
        <v>2</v>
      </c>
      <c r="I21" s="19"/>
    </row>
    <row r="22" customFormat="false" ht="25.5" hidden="false" customHeight="true" outlineLevel="0" collapsed="false">
      <c r="A22" s="17" t="s">
        <v>1024</v>
      </c>
      <c r="B22" s="14" t="s">
        <v>1025</v>
      </c>
      <c r="C22" s="14" t="s">
        <v>1017</v>
      </c>
      <c r="D22" s="52" t="n">
        <v>12</v>
      </c>
      <c r="E22" s="52" t="n">
        <v>18</v>
      </c>
      <c r="F22" s="52" t="n">
        <v>28</v>
      </c>
      <c r="G22" s="26" t="n">
        <f aca="false">ROUND((D22+4*E22+F22)/6,0)</f>
        <v>19</v>
      </c>
      <c r="H22" s="27" t="n">
        <f aca="false">ROUND((F22-D22)/6,1)</f>
        <v>2.7</v>
      </c>
      <c r="I22" s="19"/>
    </row>
    <row r="23" customFormat="false" ht="25.5" hidden="false" customHeight="true" outlineLevel="0" collapsed="false">
      <c r="A23" s="17" t="s">
        <v>1026</v>
      </c>
      <c r="B23" s="14" t="s">
        <v>1027</v>
      </c>
      <c r="C23" s="14" t="s">
        <v>1028</v>
      </c>
      <c r="D23" s="52" t="n">
        <v>14</v>
      </c>
      <c r="E23" s="52" t="n">
        <v>20</v>
      </c>
      <c r="F23" s="52" t="n">
        <v>32</v>
      </c>
      <c r="G23" s="26" t="n">
        <f aca="false">ROUND((D23+4*E23+F23)/6,0)</f>
        <v>21</v>
      </c>
      <c r="H23" s="27" t="n">
        <f aca="false">ROUND((F23-D23)/6,1)</f>
        <v>3</v>
      </c>
      <c r="I23" s="19" t="s">
        <v>1029</v>
      </c>
    </row>
    <row r="24" customFormat="false" ht="15" hidden="false" customHeight="true" outlineLevel="0" collapsed="false">
      <c r="A24" s="28"/>
      <c r="B24" s="29" t="s">
        <v>1030</v>
      </c>
      <c r="C24" s="28"/>
      <c r="D24" s="30" t="n">
        <f aca="false">SUM(D17:D23)</f>
        <v>79</v>
      </c>
      <c r="E24" s="30" t="n">
        <f aca="false">SUM(E17:E23)</f>
        <v>116</v>
      </c>
      <c r="F24" s="30" t="n">
        <f aca="false">SUM(F17:F23)</f>
        <v>186</v>
      </c>
      <c r="G24" s="30" t="n">
        <f aca="false">SUM(G17:G23)</f>
        <v>123</v>
      </c>
      <c r="H24" s="53" t="n">
        <f aca="false">ROUND(SQRT(SUMPRODUCT(H17:H23,H17:H23)),1)</f>
        <v>7</v>
      </c>
      <c r="I24" s="28"/>
    </row>
    <row r="26" customFormat="false" ht="15" hidden="false" customHeight="true" outlineLevel="0" collapsed="false">
      <c r="A26" s="11" t="s">
        <v>1031</v>
      </c>
      <c r="B26" s="11" t="s">
        <v>1032</v>
      </c>
      <c r="C26" s="15"/>
      <c r="D26" s="15"/>
      <c r="E26" s="15"/>
      <c r="F26" s="15"/>
      <c r="G26" s="15"/>
      <c r="H26" s="15"/>
      <c r="I26" s="15"/>
    </row>
    <row r="27" customFormat="false" ht="25.5" hidden="false" customHeight="true" outlineLevel="0" collapsed="false">
      <c r="A27" s="17" t="s">
        <v>1033</v>
      </c>
      <c r="B27" s="14" t="s">
        <v>1034</v>
      </c>
      <c r="C27" s="14" t="s">
        <v>1035</v>
      </c>
      <c r="D27" s="52" t="n">
        <v>18</v>
      </c>
      <c r="E27" s="52" t="n">
        <v>28</v>
      </c>
      <c r="F27" s="52" t="n">
        <v>44</v>
      </c>
      <c r="G27" s="26" t="n">
        <f aca="false">ROUND((D27+4*E27+F27)/6,0)</f>
        <v>29</v>
      </c>
      <c r="H27" s="27" t="n">
        <f aca="false">ROUND((F27-D27)/6,1)</f>
        <v>4.3</v>
      </c>
      <c r="I27" s="19"/>
    </row>
    <row r="28" customFormat="false" ht="25.5" hidden="false" customHeight="true" outlineLevel="0" collapsed="false">
      <c r="A28" s="17" t="s">
        <v>1036</v>
      </c>
      <c r="B28" s="14" t="s">
        <v>1037</v>
      </c>
      <c r="C28" s="14" t="s">
        <v>1035</v>
      </c>
      <c r="D28" s="52" t="n">
        <v>10</v>
      </c>
      <c r="E28" s="52" t="n">
        <v>16</v>
      </c>
      <c r="F28" s="52" t="n">
        <v>26</v>
      </c>
      <c r="G28" s="26" t="n">
        <f aca="false">ROUND((D28+4*E28+F28)/6,0)</f>
        <v>17</v>
      </c>
      <c r="H28" s="27" t="n">
        <f aca="false">ROUND((F28-D28)/6,1)</f>
        <v>2.7</v>
      </c>
      <c r="I28" s="19"/>
    </row>
    <row r="29" customFormat="false" ht="25.5" hidden="false" customHeight="true" outlineLevel="0" collapsed="false">
      <c r="A29" s="17" t="s">
        <v>1038</v>
      </c>
      <c r="B29" s="14" t="s">
        <v>1039</v>
      </c>
      <c r="C29" s="14" t="s">
        <v>1040</v>
      </c>
      <c r="D29" s="52" t="n">
        <v>16</v>
      </c>
      <c r="E29" s="52" t="n">
        <v>24</v>
      </c>
      <c r="F29" s="52" t="n">
        <v>38</v>
      </c>
      <c r="G29" s="26" t="n">
        <f aca="false">ROUND((D29+4*E29+F29)/6,0)</f>
        <v>25</v>
      </c>
      <c r="H29" s="27" t="n">
        <f aca="false">ROUND((F29-D29)/6,1)</f>
        <v>3.7</v>
      </c>
      <c r="I29" s="19"/>
    </row>
    <row r="30" customFormat="false" ht="25.5" hidden="false" customHeight="true" outlineLevel="0" collapsed="false">
      <c r="A30" s="17" t="s">
        <v>1041</v>
      </c>
      <c r="B30" s="14" t="s">
        <v>1042</v>
      </c>
      <c r="C30" s="14" t="s">
        <v>1040</v>
      </c>
      <c r="D30" s="52" t="n">
        <v>20</v>
      </c>
      <c r="E30" s="52" t="n">
        <v>30</v>
      </c>
      <c r="F30" s="52" t="n">
        <v>46</v>
      </c>
      <c r="G30" s="26" t="n">
        <f aca="false">ROUND((D30+4*E30+F30)/6,0)</f>
        <v>31</v>
      </c>
      <c r="H30" s="27" t="n">
        <f aca="false">ROUND((F30-D30)/6,1)</f>
        <v>4.3</v>
      </c>
      <c r="I30" s="19"/>
    </row>
    <row r="31" customFormat="false" ht="25.5" hidden="false" customHeight="true" outlineLevel="0" collapsed="false">
      <c r="A31" s="17" t="s">
        <v>1043</v>
      </c>
      <c r="B31" s="14" t="s">
        <v>1044</v>
      </c>
      <c r="C31" s="14" t="s">
        <v>1040</v>
      </c>
      <c r="D31" s="52" t="n">
        <v>12</v>
      </c>
      <c r="E31" s="52" t="n">
        <v>18</v>
      </c>
      <c r="F31" s="52" t="n">
        <v>28</v>
      </c>
      <c r="G31" s="26" t="n">
        <f aca="false">ROUND((D31+4*E31+F31)/6,0)</f>
        <v>19</v>
      </c>
      <c r="H31" s="27" t="n">
        <f aca="false">ROUND((F31-D31)/6,1)</f>
        <v>2.7</v>
      </c>
      <c r="I31" s="19"/>
    </row>
    <row r="32" customFormat="false" ht="25.5" hidden="false" customHeight="true" outlineLevel="0" collapsed="false">
      <c r="A32" s="17" t="s">
        <v>1045</v>
      </c>
      <c r="B32" s="14" t="s">
        <v>1046</v>
      </c>
      <c r="C32" s="14" t="s">
        <v>1040</v>
      </c>
      <c r="D32" s="52" t="n">
        <v>10</v>
      </c>
      <c r="E32" s="52" t="n">
        <v>16</v>
      </c>
      <c r="F32" s="52" t="n">
        <v>26</v>
      </c>
      <c r="G32" s="26" t="n">
        <f aca="false">ROUND((D32+4*E32+F32)/6,0)</f>
        <v>17</v>
      </c>
      <c r="H32" s="27" t="n">
        <f aca="false">ROUND((F32-D32)/6,1)</f>
        <v>2.7</v>
      </c>
      <c r="I32" s="19"/>
    </row>
    <row r="33" customFormat="false" ht="25.5" hidden="false" customHeight="true" outlineLevel="0" collapsed="false">
      <c r="A33" s="17" t="s">
        <v>1047</v>
      </c>
      <c r="B33" s="14" t="s">
        <v>1048</v>
      </c>
      <c r="C33" s="14" t="s">
        <v>1040</v>
      </c>
      <c r="D33" s="52" t="n">
        <v>30</v>
      </c>
      <c r="E33" s="52" t="n">
        <v>45</v>
      </c>
      <c r="F33" s="52" t="n">
        <v>68</v>
      </c>
      <c r="G33" s="26" t="n">
        <f aca="false">ROUND((D33+4*E33+F33)/6,0)</f>
        <v>46</v>
      </c>
      <c r="H33" s="27" t="n">
        <f aca="false">ROUND((F33-D33)/6,1)</f>
        <v>6.3</v>
      </c>
      <c r="I33" s="19" t="s">
        <v>1049</v>
      </c>
    </row>
    <row r="34" customFormat="false" ht="25.5" hidden="false" customHeight="true" outlineLevel="0" collapsed="false">
      <c r="A34" s="17" t="s">
        <v>1050</v>
      </c>
      <c r="B34" s="14" t="s">
        <v>1051</v>
      </c>
      <c r="C34" s="14" t="s">
        <v>1040</v>
      </c>
      <c r="D34" s="52" t="n">
        <v>16</v>
      </c>
      <c r="E34" s="52" t="n">
        <v>24</v>
      </c>
      <c r="F34" s="52" t="n">
        <v>38</v>
      </c>
      <c r="G34" s="26" t="n">
        <f aca="false">ROUND((D34+4*E34+F34)/6,0)</f>
        <v>25</v>
      </c>
      <c r="H34" s="27" t="n">
        <f aca="false">ROUND((F34-D34)/6,1)</f>
        <v>3.7</v>
      </c>
      <c r="I34" s="19"/>
    </row>
    <row r="35" customFormat="false" ht="15" hidden="false" customHeight="true" outlineLevel="0" collapsed="false">
      <c r="A35" s="28"/>
      <c r="B35" s="29" t="s">
        <v>1052</v>
      </c>
      <c r="C35" s="28"/>
      <c r="D35" s="30" t="n">
        <f aca="false">SUM(D27:D34)</f>
        <v>132</v>
      </c>
      <c r="E35" s="30" t="n">
        <f aca="false">SUM(E27:E34)</f>
        <v>201</v>
      </c>
      <c r="F35" s="30" t="n">
        <f aca="false">SUM(F27:F34)</f>
        <v>314</v>
      </c>
      <c r="G35" s="30" t="n">
        <f aca="false">SUM(G27:G34)</f>
        <v>209</v>
      </c>
      <c r="H35" s="53" t="n">
        <f aca="false">ROUND(SQRT(SUMPRODUCT(H27:H34,H27:H34)),1)</f>
        <v>11.2</v>
      </c>
      <c r="I35" s="28"/>
    </row>
    <row r="37" customFormat="false" ht="15" hidden="false" customHeight="true" outlineLevel="0" collapsed="false">
      <c r="A37" s="11" t="s">
        <v>1053</v>
      </c>
      <c r="B37" s="11" t="s">
        <v>1054</v>
      </c>
      <c r="C37" s="15"/>
      <c r="D37" s="15"/>
      <c r="E37" s="15"/>
      <c r="F37" s="15"/>
      <c r="G37" s="15"/>
      <c r="H37" s="15"/>
      <c r="I37" s="15"/>
    </row>
    <row r="38" customFormat="false" ht="25.5" hidden="false" customHeight="true" outlineLevel="0" collapsed="false">
      <c r="A38" s="17" t="s">
        <v>1055</v>
      </c>
      <c r="B38" s="14" t="s">
        <v>1056</v>
      </c>
      <c r="C38" s="14" t="s">
        <v>1057</v>
      </c>
      <c r="D38" s="52" t="n">
        <v>34</v>
      </c>
      <c r="E38" s="52" t="n">
        <v>50</v>
      </c>
      <c r="F38" s="52" t="n">
        <v>74</v>
      </c>
      <c r="G38" s="26" t="n">
        <f aca="false">ROUND((D38+4*E38+F38)/6,0)</f>
        <v>51</v>
      </c>
      <c r="H38" s="27" t="n">
        <f aca="false">ROUND((F38-D38)/6,1)</f>
        <v>6.7</v>
      </c>
      <c r="I38" s="19"/>
    </row>
    <row r="39" customFormat="false" ht="25.5" hidden="false" customHeight="true" outlineLevel="0" collapsed="false">
      <c r="A39" s="17" t="s">
        <v>1058</v>
      </c>
      <c r="B39" s="14" t="s">
        <v>1059</v>
      </c>
      <c r="C39" s="14" t="s">
        <v>1060</v>
      </c>
      <c r="D39" s="52" t="n">
        <v>12</v>
      </c>
      <c r="E39" s="52" t="n">
        <v>18</v>
      </c>
      <c r="F39" s="52" t="n">
        <v>28</v>
      </c>
      <c r="G39" s="26" t="n">
        <f aca="false">ROUND((D39+4*E39+F39)/6,0)</f>
        <v>19</v>
      </c>
      <c r="H39" s="27" t="n">
        <f aca="false">ROUND((F39-D39)/6,1)</f>
        <v>2.7</v>
      </c>
      <c r="I39" s="19"/>
    </row>
    <row r="40" customFormat="false" ht="25.5" hidden="false" customHeight="true" outlineLevel="0" collapsed="false">
      <c r="A40" s="17" t="s">
        <v>1061</v>
      </c>
      <c r="B40" s="14" t="s">
        <v>1062</v>
      </c>
      <c r="C40" s="14" t="s">
        <v>993</v>
      </c>
      <c r="D40" s="52" t="n">
        <v>10</v>
      </c>
      <c r="E40" s="52" t="n">
        <v>15</v>
      </c>
      <c r="F40" s="52" t="n">
        <v>26</v>
      </c>
      <c r="G40" s="26" t="n">
        <f aca="false">ROUND((D40+4*E40+F40)/6,0)</f>
        <v>16</v>
      </c>
      <c r="H40" s="27" t="n">
        <f aca="false">ROUND((F40-D40)/6,1)</f>
        <v>2.7</v>
      </c>
      <c r="I40" s="19" t="s">
        <v>1063</v>
      </c>
    </row>
    <row r="41" customFormat="false" ht="25.5" hidden="false" customHeight="true" outlineLevel="0" collapsed="false">
      <c r="A41" s="17" t="s">
        <v>1064</v>
      </c>
      <c r="B41" s="14" t="s">
        <v>1065</v>
      </c>
      <c r="C41" s="14" t="s">
        <v>993</v>
      </c>
      <c r="D41" s="52" t="n">
        <v>26</v>
      </c>
      <c r="E41" s="52" t="n">
        <v>38</v>
      </c>
      <c r="F41" s="52" t="n">
        <v>58</v>
      </c>
      <c r="G41" s="26" t="n">
        <f aca="false">ROUND((D41+4*E41+F41)/6,0)</f>
        <v>39</v>
      </c>
      <c r="H41" s="27" t="n">
        <f aca="false">ROUND((F41-D41)/6,1)</f>
        <v>5.3</v>
      </c>
      <c r="I41" s="19"/>
    </row>
    <row r="42" customFormat="false" ht="15" hidden="false" customHeight="true" outlineLevel="0" collapsed="false">
      <c r="A42" s="28"/>
      <c r="B42" s="29" t="s">
        <v>1066</v>
      </c>
      <c r="C42" s="28"/>
      <c r="D42" s="30" t="n">
        <f aca="false">SUM(D38:D41)</f>
        <v>82</v>
      </c>
      <c r="E42" s="30" t="n">
        <f aca="false">SUM(E38:E41)</f>
        <v>121</v>
      </c>
      <c r="F42" s="30" t="n">
        <f aca="false">SUM(F38:F41)</f>
        <v>186</v>
      </c>
      <c r="G42" s="30" t="n">
        <f aca="false">SUM(G38:G41)</f>
        <v>125</v>
      </c>
      <c r="H42" s="53" t="n">
        <f aca="false">ROUND(SQRT(SUMPRODUCT(H38:H41,H38:H41)),1)</f>
        <v>9.4</v>
      </c>
      <c r="I42" s="28"/>
    </row>
    <row r="44" customFormat="false" ht="15" hidden="false" customHeight="true" outlineLevel="0" collapsed="false">
      <c r="A44" s="11" t="s">
        <v>1067</v>
      </c>
      <c r="B44" s="11" t="s">
        <v>1068</v>
      </c>
      <c r="C44" s="15"/>
      <c r="D44" s="15"/>
      <c r="E44" s="15"/>
      <c r="F44" s="15"/>
      <c r="G44" s="15"/>
      <c r="H44" s="15"/>
      <c r="I44" s="15"/>
    </row>
    <row r="45" customFormat="false" ht="25.5" hidden="false" customHeight="true" outlineLevel="0" collapsed="false">
      <c r="A45" s="17" t="s">
        <v>715</v>
      </c>
      <c r="B45" s="14" t="s">
        <v>1069</v>
      </c>
      <c r="C45" s="14" t="s">
        <v>1070</v>
      </c>
      <c r="D45" s="52" t="n">
        <v>22</v>
      </c>
      <c r="E45" s="52" t="n">
        <v>32</v>
      </c>
      <c r="F45" s="52" t="n">
        <v>50</v>
      </c>
      <c r="G45" s="26" t="n">
        <f aca="false">ROUND((D45+4*E45+F45)/6,0)</f>
        <v>33</v>
      </c>
      <c r="H45" s="27" t="n">
        <f aca="false">ROUND((F45-D45)/6,1)</f>
        <v>4.7</v>
      </c>
      <c r="I45" s="19"/>
    </row>
    <row r="46" customFormat="false" ht="25.5" hidden="false" customHeight="true" outlineLevel="0" collapsed="false">
      <c r="A46" s="17" t="s">
        <v>720</v>
      </c>
      <c r="B46" s="14" t="s">
        <v>1071</v>
      </c>
      <c r="C46" s="14" t="s">
        <v>993</v>
      </c>
      <c r="D46" s="52" t="n">
        <v>18</v>
      </c>
      <c r="E46" s="52" t="n">
        <v>28</v>
      </c>
      <c r="F46" s="52" t="n">
        <v>44</v>
      </c>
      <c r="G46" s="26" t="n">
        <f aca="false">ROUND((D46+4*E46+F46)/6,0)</f>
        <v>29</v>
      </c>
      <c r="H46" s="27" t="n">
        <f aca="false">ROUND((F46-D46)/6,1)</f>
        <v>4.3</v>
      </c>
      <c r="I46" s="19"/>
    </row>
    <row r="47" customFormat="false" ht="25.5" hidden="false" customHeight="true" outlineLevel="0" collapsed="false">
      <c r="A47" s="17" t="s">
        <v>725</v>
      </c>
      <c r="B47" s="14" t="s">
        <v>1072</v>
      </c>
      <c r="C47" s="14" t="s">
        <v>993</v>
      </c>
      <c r="D47" s="52" t="n">
        <v>13</v>
      </c>
      <c r="E47" s="52" t="n">
        <v>20</v>
      </c>
      <c r="F47" s="52" t="n">
        <v>32</v>
      </c>
      <c r="G47" s="26" t="n">
        <f aca="false">ROUND((D47+4*E47+F47)/6,0)</f>
        <v>21</v>
      </c>
      <c r="H47" s="27" t="n">
        <f aca="false">ROUND((F47-D47)/6,1)</f>
        <v>3.2</v>
      </c>
      <c r="I47" s="19"/>
    </row>
    <row r="48" customFormat="false" ht="25.5" hidden="false" customHeight="true" outlineLevel="0" collapsed="false">
      <c r="A48" s="17" t="s">
        <v>728</v>
      </c>
      <c r="B48" s="14" t="s">
        <v>1073</v>
      </c>
      <c r="C48" s="14" t="s">
        <v>993</v>
      </c>
      <c r="D48" s="52" t="n">
        <v>30</v>
      </c>
      <c r="E48" s="52" t="n">
        <v>45</v>
      </c>
      <c r="F48" s="52" t="n">
        <v>70</v>
      </c>
      <c r="G48" s="26" t="n">
        <f aca="false">ROUND((D48+4*E48+F48)/6,0)</f>
        <v>47</v>
      </c>
      <c r="H48" s="27" t="n">
        <f aca="false">ROUND((F48-D48)/6,1)</f>
        <v>6.7</v>
      </c>
      <c r="I48" s="19" t="s">
        <v>1074</v>
      </c>
    </row>
    <row r="49" customFormat="false" ht="25.5" hidden="false" customHeight="true" outlineLevel="0" collapsed="false">
      <c r="A49" s="17" t="s">
        <v>803</v>
      </c>
      <c r="B49" s="14" t="s">
        <v>1075</v>
      </c>
      <c r="C49" s="14" t="s">
        <v>993</v>
      </c>
      <c r="D49" s="52" t="n">
        <v>16</v>
      </c>
      <c r="E49" s="52" t="n">
        <v>24</v>
      </c>
      <c r="F49" s="52" t="n">
        <v>38</v>
      </c>
      <c r="G49" s="26" t="n">
        <f aca="false">ROUND((D49+4*E49+F49)/6,0)</f>
        <v>25</v>
      </c>
      <c r="H49" s="27" t="n">
        <f aca="false">ROUND((F49-D49)/6,1)</f>
        <v>3.7</v>
      </c>
      <c r="I49" s="19"/>
    </row>
    <row r="50" customFormat="false" ht="25.5" hidden="false" customHeight="true" outlineLevel="0" collapsed="false">
      <c r="A50" s="17" t="s">
        <v>804</v>
      </c>
      <c r="B50" s="14" t="s">
        <v>1076</v>
      </c>
      <c r="C50" s="14" t="s">
        <v>993</v>
      </c>
      <c r="D50" s="52" t="n">
        <v>12</v>
      </c>
      <c r="E50" s="52" t="n">
        <v>18</v>
      </c>
      <c r="F50" s="52" t="n">
        <v>30</v>
      </c>
      <c r="G50" s="26" t="n">
        <f aca="false">ROUND((D50+4*E50+F50)/6,0)</f>
        <v>19</v>
      </c>
      <c r="H50" s="27" t="n">
        <f aca="false">ROUND((F50-D50)/6,1)</f>
        <v>3</v>
      </c>
      <c r="I50" s="19"/>
    </row>
    <row r="51" customFormat="false" ht="25.5" hidden="false" customHeight="true" outlineLevel="0" collapsed="false">
      <c r="A51" s="54" t="s">
        <v>1077</v>
      </c>
      <c r="B51" s="55" t="s">
        <v>1078</v>
      </c>
      <c r="C51" s="55" t="s">
        <v>871</v>
      </c>
      <c r="D51" s="56" t="n">
        <v>12</v>
      </c>
      <c r="E51" s="56" t="n">
        <v>18</v>
      </c>
      <c r="F51" s="56" t="n">
        <v>30</v>
      </c>
      <c r="G51" s="57" t="n">
        <f aca="false">ROUND((D51+4*E51+F51)/6,0)</f>
        <v>19</v>
      </c>
      <c r="H51" s="58" t="n">
        <f aca="false">ROUND((F51-D51)/6,1)</f>
        <v>3</v>
      </c>
      <c r="I51" s="59" t="s">
        <v>1079</v>
      </c>
    </row>
    <row r="52" customFormat="false" ht="15" hidden="false" customHeight="true" outlineLevel="0" collapsed="false">
      <c r="A52" s="28"/>
      <c r="B52" s="29" t="s">
        <v>1080</v>
      </c>
      <c r="C52" s="28"/>
      <c r="D52" s="30" t="n">
        <f aca="false">SUM(D45:D51)</f>
        <v>123</v>
      </c>
      <c r="E52" s="30" t="n">
        <f aca="false">SUM(E45:E51)</f>
        <v>185</v>
      </c>
      <c r="F52" s="30" t="n">
        <f aca="false">SUM(F45:F51)</f>
        <v>294</v>
      </c>
      <c r="G52" s="30" t="n">
        <f aca="false">SUM(G45:G51)</f>
        <v>193</v>
      </c>
      <c r="H52" s="53" t="n">
        <f aca="false">ROUND(SQRT(SUMPRODUCT(H45:H51,H45:H51)),1)</f>
        <v>11.3</v>
      </c>
      <c r="I52" s="28"/>
    </row>
    <row r="54" customFormat="false" ht="15" hidden="false" customHeight="true" outlineLevel="0" collapsed="false">
      <c r="A54" s="11" t="s">
        <v>1081</v>
      </c>
      <c r="B54" s="11" t="s">
        <v>1082</v>
      </c>
      <c r="C54" s="15"/>
      <c r="D54" s="15"/>
      <c r="E54" s="15"/>
      <c r="F54" s="15"/>
      <c r="G54" s="15"/>
      <c r="H54" s="15"/>
      <c r="I54" s="15"/>
    </row>
    <row r="55" customFormat="false" ht="25.5" hidden="false" customHeight="true" outlineLevel="0" collapsed="false">
      <c r="A55" s="17" t="s">
        <v>1083</v>
      </c>
      <c r="B55" s="14" t="s">
        <v>1084</v>
      </c>
      <c r="C55" s="14" t="s">
        <v>1085</v>
      </c>
      <c r="D55" s="52" t="n">
        <v>20</v>
      </c>
      <c r="E55" s="52" t="n">
        <v>30</v>
      </c>
      <c r="F55" s="52" t="n">
        <v>46</v>
      </c>
      <c r="G55" s="26" t="n">
        <f aca="false">ROUND((D55+4*E55+F55)/6,0)</f>
        <v>31</v>
      </c>
      <c r="H55" s="27" t="n">
        <f aca="false">ROUND((F55-D55)/6,1)</f>
        <v>4.3</v>
      </c>
      <c r="I55" s="19"/>
    </row>
    <row r="56" customFormat="false" ht="25.5" hidden="false" customHeight="true" outlineLevel="0" collapsed="false">
      <c r="A56" s="61" t="s">
        <v>1086</v>
      </c>
      <c r="B56" s="62" t="s">
        <v>1087</v>
      </c>
      <c r="C56" s="62" t="s">
        <v>1088</v>
      </c>
      <c r="D56" s="63" t="n">
        <v>16</v>
      </c>
      <c r="E56" s="63" t="n">
        <v>25</v>
      </c>
      <c r="F56" s="63" t="n">
        <v>42</v>
      </c>
      <c r="G56" s="64" t="n">
        <f aca="false">ROUND((D56+4*E56+F56)/6,0)</f>
        <v>26</v>
      </c>
      <c r="H56" s="65" t="n">
        <f aca="false">ROUND((F56-D56)/6,1)</f>
        <v>4.3</v>
      </c>
      <c r="I56" s="66" t="s">
        <v>1089</v>
      </c>
    </row>
    <row r="57" customFormat="false" ht="25.5" hidden="false" customHeight="true" outlineLevel="0" collapsed="false">
      <c r="A57" s="17" t="s">
        <v>1090</v>
      </c>
      <c r="B57" s="14" t="s">
        <v>1091</v>
      </c>
      <c r="C57" s="14" t="s">
        <v>1092</v>
      </c>
      <c r="D57" s="52" t="n">
        <v>24</v>
      </c>
      <c r="E57" s="52" t="n">
        <v>35</v>
      </c>
      <c r="F57" s="52" t="n">
        <v>52</v>
      </c>
      <c r="G57" s="26" t="n">
        <f aca="false">ROUND((D57+4*E57+F57)/6,0)</f>
        <v>36</v>
      </c>
      <c r="H57" s="27" t="n">
        <f aca="false">ROUND((F57-D57)/6,1)</f>
        <v>4.7</v>
      </c>
      <c r="I57" s="19"/>
    </row>
    <row r="58" customFormat="false" ht="25.5" hidden="false" customHeight="true" outlineLevel="0" collapsed="false">
      <c r="A58" s="17" t="s">
        <v>1093</v>
      </c>
      <c r="B58" s="14" t="s">
        <v>1094</v>
      </c>
      <c r="C58" s="14" t="s">
        <v>1095</v>
      </c>
      <c r="D58" s="52" t="n">
        <v>14</v>
      </c>
      <c r="E58" s="52" t="n">
        <v>20</v>
      </c>
      <c r="F58" s="52" t="n">
        <v>32</v>
      </c>
      <c r="G58" s="26" t="n">
        <f aca="false">ROUND((D58+4*E58+F58)/6,0)</f>
        <v>21</v>
      </c>
      <c r="H58" s="27" t="n">
        <f aca="false">ROUND((F58-D58)/6,1)</f>
        <v>3</v>
      </c>
      <c r="I58" s="19"/>
    </row>
    <row r="59" customFormat="false" ht="25.5" hidden="false" customHeight="true" outlineLevel="0" collapsed="false">
      <c r="A59" s="17" t="s">
        <v>1096</v>
      </c>
      <c r="B59" s="14" t="s">
        <v>1097</v>
      </c>
      <c r="C59" s="14" t="s">
        <v>1098</v>
      </c>
      <c r="D59" s="52" t="n">
        <v>20</v>
      </c>
      <c r="E59" s="52" t="n">
        <v>30</v>
      </c>
      <c r="F59" s="52" t="n">
        <v>46</v>
      </c>
      <c r="G59" s="26" t="n">
        <f aca="false">ROUND((D59+4*E59+F59)/6,0)</f>
        <v>31</v>
      </c>
      <c r="H59" s="27" t="n">
        <f aca="false">ROUND((F59-D59)/6,1)</f>
        <v>4.3</v>
      </c>
      <c r="I59" s="19"/>
    </row>
    <row r="60" customFormat="false" ht="25.5" hidden="false" customHeight="true" outlineLevel="0" collapsed="false">
      <c r="A60" s="17" t="s">
        <v>1099</v>
      </c>
      <c r="B60" s="14" t="s">
        <v>1100</v>
      </c>
      <c r="C60" s="14" t="s">
        <v>1101</v>
      </c>
      <c r="D60" s="52" t="n">
        <v>17</v>
      </c>
      <c r="E60" s="52" t="n">
        <v>25</v>
      </c>
      <c r="F60" s="52" t="n">
        <v>38</v>
      </c>
      <c r="G60" s="26" t="n">
        <f aca="false">ROUND((D60+4*E60+F60)/6,0)</f>
        <v>26</v>
      </c>
      <c r="H60" s="27" t="n">
        <f aca="false">ROUND((F60-D60)/6,1)</f>
        <v>3.5</v>
      </c>
      <c r="I60" s="19"/>
    </row>
    <row r="61" customFormat="false" ht="25.5" hidden="false" customHeight="true" outlineLevel="0" collapsed="false">
      <c r="A61" s="17" t="s">
        <v>1102</v>
      </c>
      <c r="B61" s="14" t="s">
        <v>1103</v>
      </c>
      <c r="C61" s="14" t="s">
        <v>1104</v>
      </c>
      <c r="D61" s="52" t="n">
        <v>12</v>
      </c>
      <c r="E61" s="52" t="n">
        <v>18</v>
      </c>
      <c r="F61" s="52" t="n">
        <v>28</v>
      </c>
      <c r="G61" s="26" t="n">
        <f aca="false">ROUND((D61+4*E61+F61)/6,0)</f>
        <v>19</v>
      </c>
      <c r="H61" s="27" t="n">
        <f aca="false">ROUND((F61-D61)/6,1)</f>
        <v>2.7</v>
      </c>
      <c r="I61" s="19"/>
    </row>
    <row r="62" customFormat="false" ht="25.5" hidden="false" customHeight="true" outlineLevel="0" collapsed="false">
      <c r="A62" s="17" t="s">
        <v>1105</v>
      </c>
      <c r="B62" s="14" t="s">
        <v>1106</v>
      </c>
      <c r="C62" s="14" t="s">
        <v>1107</v>
      </c>
      <c r="D62" s="52" t="n">
        <v>15</v>
      </c>
      <c r="E62" s="52" t="n">
        <v>22</v>
      </c>
      <c r="F62" s="52" t="n">
        <v>34</v>
      </c>
      <c r="G62" s="26" t="n">
        <f aca="false">ROUND((D62+4*E62+F62)/6,0)</f>
        <v>23</v>
      </c>
      <c r="H62" s="27" t="n">
        <f aca="false">ROUND((F62-D62)/6,1)</f>
        <v>3.2</v>
      </c>
      <c r="I62" s="19"/>
    </row>
    <row r="63" customFormat="false" ht="25.5" hidden="false" customHeight="true" outlineLevel="0" collapsed="false">
      <c r="A63" s="61" t="s">
        <v>1108</v>
      </c>
      <c r="B63" s="62" t="s">
        <v>1109</v>
      </c>
      <c r="C63" s="62" t="s">
        <v>1088</v>
      </c>
      <c r="D63" s="63" t="n">
        <v>22</v>
      </c>
      <c r="E63" s="63" t="n">
        <v>34</v>
      </c>
      <c r="F63" s="63" t="n">
        <v>55</v>
      </c>
      <c r="G63" s="64" t="n">
        <f aca="false">ROUND((D63+4*E63+F63)/6,0)</f>
        <v>36</v>
      </c>
      <c r="H63" s="65" t="n">
        <f aca="false">ROUND((F63-D63)/6,1)</f>
        <v>5.5</v>
      </c>
      <c r="I63" s="66" t="s">
        <v>1110</v>
      </c>
    </row>
    <row r="64" customFormat="false" ht="15" hidden="false" customHeight="true" outlineLevel="0" collapsed="false">
      <c r="A64" s="28"/>
      <c r="B64" s="29" t="s">
        <v>1111</v>
      </c>
      <c r="C64" s="28"/>
      <c r="D64" s="30" t="n">
        <f aca="false">SUM(D55:D63)</f>
        <v>160</v>
      </c>
      <c r="E64" s="30" t="n">
        <f aca="false">SUM(E55:E63)</f>
        <v>239</v>
      </c>
      <c r="F64" s="30" t="n">
        <f aca="false">SUM(F55:F63)</f>
        <v>373</v>
      </c>
      <c r="G64" s="30" t="n">
        <f aca="false">SUM(G55:G63)</f>
        <v>249</v>
      </c>
      <c r="H64" s="53" t="n">
        <f aca="false">ROUND(SQRT(SUMPRODUCT(H55:H63,H55:H63)),1)</f>
        <v>12.1</v>
      </c>
      <c r="I64" s="28"/>
    </row>
    <row r="66" customFormat="false" ht="15" hidden="false" customHeight="true" outlineLevel="0" collapsed="false">
      <c r="A66" s="11" t="s">
        <v>1112</v>
      </c>
      <c r="B66" s="11" t="s">
        <v>1113</v>
      </c>
      <c r="C66" s="15"/>
      <c r="D66" s="15"/>
      <c r="E66" s="15"/>
      <c r="F66" s="15"/>
      <c r="G66" s="15"/>
      <c r="H66" s="15"/>
      <c r="I66" s="15"/>
    </row>
    <row r="67" customFormat="false" ht="25.5" hidden="false" customHeight="true" outlineLevel="0" collapsed="false">
      <c r="A67" s="17" t="s">
        <v>1114</v>
      </c>
      <c r="B67" s="14" t="s">
        <v>1115</v>
      </c>
      <c r="C67" s="14" t="s">
        <v>1116</v>
      </c>
      <c r="D67" s="52" t="n">
        <v>14</v>
      </c>
      <c r="E67" s="52" t="n">
        <v>20</v>
      </c>
      <c r="F67" s="52" t="n">
        <v>32</v>
      </c>
      <c r="G67" s="26" t="n">
        <f aca="false">ROUND((D67+4*E67+F67)/6,0)</f>
        <v>21</v>
      </c>
      <c r="H67" s="27" t="n">
        <f aca="false">ROUND((F67-D67)/6,1)</f>
        <v>3</v>
      </c>
      <c r="I67" s="19"/>
    </row>
    <row r="68" customFormat="false" ht="25.5" hidden="false" customHeight="true" outlineLevel="0" collapsed="false">
      <c r="A68" s="17" t="s">
        <v>1117</v>
      </c>
      <c r="B68" s="14" t="s">
        <v>1118</v>
      </c>
      <c r="C68" s="14" t="s">
        <v>1119</v>
      </c>
      <c r="D68" s="52" t="n">
        <v>10</v>
      </c>
      <c r="E68" s="52" t="n">
        <v>16</v>
      </c>
      <c r="F68" s="52" t="n">
        <v>26</v>
      </c>
      <c r="G68" s="26" t="n">
        <f aca="false">ROUND((D68+4*E68+F68)/6,0)</f>
        <v>17</v>
      </c>
      <c r="H68" s="27" t="n">
        <f aca="false">ROUND((F68-D68)/6,1)</f>
        <v>2.7</v>
      </c>
      <c r="I68" s="19"/>
    </row>
    <row r="69" customFormat="false" ht="25.5" hidden="false" customHeight="true" outlineLevel="0" collapsed="false">
      <c r="A69" s="17" t="s">
        <v>1120</v>
      </c>
      <c r="B69" s="14" t="s">
        <v>1121</v>
      </c>
      <c r="C69" s="14" t="s">
        <v>1122</v>
      </c>
      <c r="D69" s="52" t="n">
        <v>24</v>
      </c>
      <c r="E69" s="52" t="n">
        <v>35</v>
      </c>
      <c r="F69" s="52" t="n">
        <v>52</v>
      </c>
      <c r="G69" s="26" t="n">
        <f aca="false">ROUND((D69+4*E69+F69)/6,0)</f>
        <v>36</v>
      </c>
      <c r="H69" s="27" t="n">
        <f aca="false">ROUND((F69-D69)/6,1)</f>
        <v>4.7</v>
      </c>
      <c r="I69" s="19"/>
    </row>
    <row r="70" customFormat="false" ht="25.5" hidden="false" customHeight="true" outlineLevel="0" collapsed="false">
      <c r="A70" s="17" t="s">
        <v>1123</v>
      </c>
      <c r="B70" s="14" t="s">
        <v>1124</v>
      </c>
      <c r="C70" s="14" t="s">
        <v>1125</v>
      </c>
      <c r="D70" s="52" t="n">
        <v>18</v>
      </c>
      <c r="E70" s="52" t="n">
        <v>28</v>
      </c>
      <c r="F70" s="52" t="n">
        <v>44</v>
      </c>
      <c r="G70" s="26" t="n">
        <f aca="false">ROUND((D70+4*E70+F70)/6,0)</f>
        <v>29</v>
      </c>
      <c r="H70" s="27" t="n">
        <f aca="false">ROUND((F70-D70)/6,1)</f>
        <v>4.3</v>
      </c>
      <c r="I70" s="19" t="s">
        <v>1126</v>
      </c>
    </row>
    <row r="71" customFormat="false" ht="25.5" hidden="false" customHeight="true" outlineLevel="0" collapsed="false">
      <c r="A71" s="17" t="s">
        <v>1127</v>
      </c>
      <c r="B71" s="14" t="s">
        <v>1128</v>
      </c>
      <c r="C71" s="14" t="s">
        <v>1129</v>
      </c>
      <c r="D71" s="52" t="n">
        <v>20</v>
      </c>
      <c r="E71" s="52" t="n">
        <v>30</v>
      </c>
      <c r="F71" s="52" t="n">
        <v>46</v>
      </c>
      <c r="G71" s="26" t="n">
        <f aca="false">ROUND((D71+4*E71+F71)/6,0)</f>
        <v>31</v>
      </c>
      <c r="H71" s="27" t="n">
        <f aca="false">ROUND((F71-D71)/6,1)</f>
        <v>4.3</v>
      </c>
      <c r="I71" s="19"/>
    </row>
    <row r="72" customFormat="false" ht="25.5" hidden="false" customHeight="true" outlineLevel="0" collapsed="false">
      <c r="A72" s="17" t="s">
        <v>1130</v>
      </c>
      <c r="B72" s="14" t="s">
        <v>1131</v>
      </c>
      <c r="C72" s="14" t="s">
        <v>1132</v>
      </c>
      <c r="D72" s="52" t="n">
        <v>24</v>
      </c>
      <c r="E72" s="52" t="n">
        <v>35</v>
      </c>
      <c r="F72" s="52" t="n">
        <v>52</v>
      </c>
      <c r="G72" s="26" t="n">
        <f aca="false">ROUND((D72+4*E72+F72)/6,0)</f>
        <v>36</v>
      </c>
      <c r="H72" s="27" t="n">
        <f aca="false">ROUND((F72-D72)/6,1)</f>
        <v>4.7</v>
      </c>
      <c r="I72" s="19"/>
    </row>
    <row r="73" customFormat="false" ht="15" hidden="false" customHeight="true" outlineLevel="0" collapsed="false">
      <c r="A73" s="28"/>
      <c r="B73" s="29" t="s">
        <v>1133</v>
      </c>
      <c r="C73" s="28"/>
      <c r="D73" s="30" t="n">
        <f aca="false">SUM(D67:D72)</f>
        <v>110</v>
      </c>
      <c r="E73" s="30" t="n">
        <f aca="false">SUM(E67:E72)</f>
        <v>164</v>
      </c>
      <c r="F73" s="30" t="n">
        <f aca="false">SUM(F67:F72)</f>
        <v>252</v>
      </c>
      <c r="G73" s="30" t="n">
        <f aca="false">SUM(G67:G72)</f>
        <v>170</v>
      </c>
      <c r="H73" s="53" t="n">
        <f aca="false">ROUND(SQRT(SUMPRODUCT(H67:H72,H67:H72)),1)</f>
        <v>9.9</v>
      </c>
      <c r="I73" s="28"/>
    </row>
    <row r="75" customFormat="false" ht="15" hidden="false" customHeight="true" outlineLevel="0" collapsed="false">
      <c r="A75" s="11" t="s">
        <v>1134</v>
      </c>
      <c r="B75" s="11" t="s">
        <v>1135</v>
      </c>
      <c r="C75" s="15"/>
      <c r="D75" s="15"/>
      <c r="E75" s="15"/>
      <c r="F75" s="15"/>
      <c r="G75" s="15"/>
      <c r="H75" s="15"/>
      <c r="I75" s="15"/>
    </row>
    <row r="76" customFormat="false" ht="25.5" hidden="false" customHeight="true" outlineLevel="0" collapsed="false">
      <c r="A76" s="54" t="s">
        <v>577</v>
      </c>
      <c r="B76" s="55" t="s">
        <v>1136</v>
      </c>
      <c r="C76" s="55" t="s">
        <v>871</v>
      </c>
      <c r="D76" s="56" t="n">
        <v>16</v>
      </c>
      <c r="E76" s="56" t="n">
        <v>24</v>
      </c>
      <c r="F76" s="56" t="n">
        <v>40</v>
      </c>
      <c r="G76" s="57" t="n">
        <f aca="false">ROUND((D76+4*E76+F76)/6,0)</f>
        <v>25</v>
      </c>
      <c r="H76" s="58" t="n">
        <f aca="false">ROUND((F76-D76)/6,1)</f>
        <v>4</v>
      </c>
      <c r="I76" s="59" t="s">
        <v>1137</v>
      </c>
    </row>
    <row r="77" customFormat="false" ht="25.5" hidden="false" customHeight="true" outlineLevel="0" collapsed="false">
      <c r="A77" s="54" t="s">
        <v>580</v>
      </c>
      <c r="B77" s="55" t="s">
        <v>1138</v>
      </c>
      <c r="C77" s="55" t="s">
        <v>871</v>
      </c>
      <c r="D77" s="56" t="n">
        <v>22</v>
      </c>
      <c r="E77" s="56" t="n">
        <v>34</v>
      </c>
      <c r="F77" s="56" t="n">
        <v>55</v>
      </c>
      <c r="G77" s="57" t="n">
        <f aca="false">ROUND((D77+4*E77+F77)/6,0)</f>
        <v>36</v>
      </c>
      <c r="H77" s="58" t="n">
        <f aca="false">ROUND((F77-D77)/6,1)</f>
        <v>5.5</v>
      </c>
      <c r="I77" s="59" t="s">
        <v>1139</v>
      </c>
    </row>
    <row r="78" customFormat="false" ht="25.5" hidden="false" customHeight="true" outlineLevel="0" collapsed="false">
      <c r="A78" s="17" t="s">
        <v>583</v>
      </c>
      <c r="B78" s="14" t="s">
        <v>1140</v>
      </c>
      <c r="C78" s="14" t="s">
        <v>993</v>
      </c>
      <c r="D78" s="52" t="n">
        <v>10</v>
      </c>
      <c r="E78" s="52" t="n">
        <v>15</v>
      </c>
      <c r="F78" s="52" t="n">
        <v>26</v>
      </c>
      <c r="G78" s="26" t="n">
        <f aca="false">ROUND((D78+4*E78+F78)/6,0)</f>
        <v>16</v>
      </c>
      <c r="H78" s="27" t="n">
        <f aca="false">ROUND((F78-D78)/6,1)</f>
        <v>2.7</v>
      </c>
      <c r="I78" s="19" t="s">
        <v>1141</v>
      </c>
    </row>
    <row r="79" customFormat="false" ht="25.5" hidden="false" customHeight="true" outlineLevel="0" collapsed="false">
      <c r="A79" s="54" t="s">
        <v>586</v>
      </c>
      <c r="B79" s="55" t="s">
        <v>1142</v>
      </c>
      <c r="C79" s="55" t="s">
        <v>871</v>
      </c>
      <c r="D79" s="56" t="n">
        <v>8</v>
      </c>
      <c r="E79" s="56" t="n">
        <v>12</v>
      </c>
      <c r="F79" s="56" t="n">
        <v>20</v>
      </c>
      <c r="G79" s="57" t="n">
        <f aca="false">ROUND((D79+4*E79+F79)/6,0)</f>
        <v>13</v>
      </c>
      <c r="H79" s="58" t="n">
        <f aca="false">ROUND((F79-D79)/6,1)</f>
        <v>2</v>
      </c>
      <c r="I79" s="59" t="s">
        <v>1143</v>
      </c>
    </row>
    <row r="80" customFormat="false" ht="15" hidden="false" customHeight="true" outlineLevel="0" collapsed="false">
      <c r="A80" s="28"/>
      <c r="B80" s="29" t="s">
        <v>1144</v>
      </c>
      <c r="C80" s="28"/>
      <c r="D80" s="30" t="n">
        <f aca="false">SUM(D76:D79)</f>
        <v>56</v>
      </c>
      <c r="E80" s="30" t="n">
        <f aca="false">SUM(E76:E79)</f>
        <v>85</v>
      </c>
      <c r="F80" s="30" t="n">
        <f aca="false">SUM(F76:F79)</f>
        <v>141</v>
      </c>
      <c r="G80" s="30" t="n">
        <f aca="false">SUM(G76:G79)</f>
        <v>90</v>
      </c>
      <c r="H80" s="53" t="n">
        <f aca="false">ROUND(SQRT(SUMPRODUCT(H76:H79,H76:H79)),1)</f>
        <v>7.6</v>
      </c>
      <c r="I80" s="28"/>
    </row>
    <row r="82" customFormat="false" ht="15" hidden="false" customHeight="true" outlineLevel="0" collapsed="false">
      <c r="A82" s="11" t="s">
        <v>1145</v>
      </c>
      <c r="B82" s="11" t="s">
        <v>1146</v>
      </c>
      <c r="C82" s="15"/>
      <c r="D82" s="15"/>
      <c r="E82" s="15"/>
      <c r="F82" s="15"/>
      <c r="G82" s="15"/>
      <c r="H82" s="15"/>
      <c r="I82" s="15"/>
    </row>
    <row r="83" customFormat="false" ht="25.5" hidden="false" customHeight="true" outlineLevel="0" collapsed="false">
      <c r="A83" s="17" t="s">
        <v>629</v>
      </c>
      <c r="B83" s="14" t="s">
        <v>1147</v>
      </c>
      <c r="C83" s="14" t="s">
        <v>1148</v>
      </c>
      <c r="D83" s="52" t="n">
        <v>20</v>
      </c>
      <c r="E83" s="52" t="n">
        <v>30</v>
      </c>
      <c r="F83" s="52" t="n">
        <v>46</v>
      </c>
      <c r="G83" s="26" t="n">
        <f aca="false">ROUND((D83+4*E83+F83)/6,0)</f>
        <v>31</v>
      </c>
      <c r="H83" s="27" t="n">
        <f aca="false">ROUND((F83-D83)/6,1)</f>
        <v>4.3</v>
      </c>
      <c r="I83" s="19"/>
    </row>
    <row r="84" customFormat="false" ht="25.5" hidden="false" customHeight="true" outlineLevel="0" collapsed="false">
      <c r="A84" s="17" t="s">
        <v>632</v>
      </c>
      <c r="B84" s="14" t="s">
        <v>1149</v>
      </c>
      <c r="C84" s="14" t="s">
        <v>1150</v>
      </c>
      <c r="D84" s="52" t="n">
        <v>18</v>
      </c>
      <c r="E84" s="52" t="n">
        <v>26</v>
      </c>
      <c r="F84" s="52" t="n">
        <v>40</v>
      </c>
      <c r="G84" s="26" t="n">
        <f aca="false">ROUND((D84+4*E84+F84)/6,0)</f>
        <v>27</v>
      </c>
      <c r="H84" s="27" t="n">
        <f aca="false">ROUND((F84-D84)/6,1)</f>
        <v>3.7</v>
      </c>
      <c r="I84" s="19" t="s">
        <v>1151</v>
      </c>
    </row>
    <row r="85" customFormat="false" ht="25.5" hidden="false" customHeight="true" outlineLevel="0" collapsed="false">
      <c r="A85" s="17" t="s">
        <v>635</v>
      </c>
      <c r="B85" s="14" t="s">
        <v>1152</v>
      </c>
      <c r="C85" s="14" t="s">
        <v>1153</v>
      </c>
      <c r="D85" s="52" t="n">
        <v>12</v>
      </c>
      <c r="E85" s="52" t="n">
        <v>18</v>
      </c>
      <c r="F85" s="52" t="n">
        <v>28</v>
      </c>
      <c r="G85" s="26" t="n">
        <f aca="false">ROUND((D85+4*E85+F85)/6,0)</f>
        <v>19</v>
      </c>
      <c r="H85" s="27" t="n">
        <f aca="false">ROUND((F85-D85)/6,1)</f>
        <v>2.7</v>
      </c>
      <c r="I85" s="19"/>
    </row>
    <row r="86" customFormat="false" ht="25.5" hidden="false" customHeight="true" outlineLevel="0" collapsed="false">
      <c r="A86" s="17" t="s">
        <v>638</v>
      </c>
      <c r="B86" s="14" t="s">
        <v>1154</v>
      </c>
      <c r="C86" s="14" t="s">
        <v>1155</v>
      </c>
      <c r="D86" s="52" t="n">
        <v>20</v>
      </c>
      <c r="E86" s="52" t="n">
        <v>30</v>
      </c>
      <c r="F86" s="52" t="n">
        <v>48</v>
      </c>
      <c r="G86" s="26" t="n">
        <f aca="false">ROUND((D86+4*E86+F86)/6,0)</f>
        <v>31</v>
      </c>
      <c r="H86" s="27" t="n">
        <f aca="false">ROUND((F86-D86)/6,1)</f>
        <v>4.7</v>
      </c>
      <c r="I86" s="19"/>
    </row>
    <row r="87" customFormat="false" ht="25.5" hidden="false" customHeight="true" outlineLevel="0" collapsed="false">
      <c r="A87" s="17" t="s">
        <v>641</v>
      </c>
      <c r="B87" s="14" t="s">
        <v>1156</v>
      </c>
      <c r="C87" s="14" t="s">
        <v>993</v>
      </c>
      <c r="D87" s="52" t="n">
        <v>18</v>
      </c>
      <c r="E87" s="52" t="n">
        <v>28</v>
      </c>
      <c r="F87" s="52" t="n">
        <v>44</v>
      </c>
      <c r="G87" s="26" t="n">
        <f aca="false">ROUND((D87+4*E87+F87)/6,0)</f>
        <v>29</v>
      </c>
      <c r="H87" s="27" t="n">
        <f aca="false">ROUND((F87-D87)/6,1)</f>
        <v>4.3</v>
      </c>
      <c r="I87" s="19" t="s">
        <v>1157</v>
      </c>
    </row>
    <row r="88" customFormat="false" ht="15" hidden="false" customHeight="true" outlineLevel="0" collapsed="false">
      <c r="A88" s="28"/>
      <c r="B88" s="29" t="s">
        <v>1158</v>
      </c>
      <c r="C88" s="28"/>
      <c r="D88" s="30" t="n">
        <f aca="false">SUM(D83:D87)</f>
        <v>88</v>
      </c>
      <c r="E88" s="30" t="n">
        <f aca="false">SUM(E83:E87)</f>
        <v>132</v>
      </c>
      <c r="F88" s="30" t="n">
        <f aca="false">SUM(F83:F87)</f>
        <v>206</v>
      </c>
      <c r="G88" s="30" t="n">
        <f aca="false">SUM(G83:G87)</f>
        <v>137</v>
      </c>
      <c r="H88" s="53" t="n">
        <f aca="false">ROUND(SQRT(SUMPRODUCT(H83:H87,H83:H87)),1)</f>
        <v>8.9</v>
      </c>
      <c r="I88" s="28"/>
    </row>
    <row r="90" customFormat="false" ht="15" hidden="false" customHeight="true" outlineLevel="0" collapsed="false">
      <c r="A90" s="11" t="s">
        <v>1159</v>
      </c>
      <c r="B90" s="11" t="s">
        <v>958</v>
      </c>
      <c r="C90" s="15"/>
      <c r="D90" s="15"/>
      <c r="E90" s="15"/>
      <c r="F90" s="15"/>
      <c r="G90" s="15"/>
      <c r="H90" s="15"/>
      <c r="I90" s="15"/>
    </row>
    <row r="91" customFormat="false" ht="25.5" hidden="false" customHeight="true" outlineLevel="0" collapsed="false">
      <c r="A91" s="17" t="s">
        <v>1160</v>
      </c>
      <c r="B91" s="14" t="s">
        <v>1161</v>
      </c>
      <c r="C91" s="14" t="s">
        <v>1162</v>
      </c>
      <c r="D91" s="52" t="n">
        <v>16</v>
      </c>
      <c r="E91" s="52" t="n">
        <v>24</v>
      </c>
      <c r="F91" s="52" t="n">
        <v>38</v>
      </c>
      <c r="G91" s="26" t="n">
        <f aca="false">ROUND((D91+4*E91+F91)/6,0)</f>
        <v>25</v>
      </c>
      <c r="H91" s="27" t="n">
        <f aca="false">ROUND((F91-D91)/6,1)</f>
        <v>3.7</v>
      </c>
      <c r="I91" s="19"/>
    </row>
    <row r="92" customFormat="false" ht="25.5" hidden="false" customHeight="true" outlineLevel="0" collapsed="false">
      <c r="A92" s="17" t="s">
        <v>1163</v>
      </c>
      <c r="B92" s="14" t="s">
        <v>960</v>
      </c>
      <c r="C92" s="14" t="s">
        <v>1162</v>
      </c>
      <c r="D92" s="52" t="n">
        <v>42</v>
      </c>
      <c r="E92" s="52" t="n">
        <v>62</v>
      </c>
      <c r="F92" s="52" t="n">
        <v>94</v>
      </c>
      <c r="G92" s="26" t="n">
        <f aca="false">ROUND((D92+4*E92+F92)/6,0)</f>
        <v>64</v>
      </c>
      <c r="H92" s="27" t="n">
        <f aca="false">ROUND((F92-D92)/6,1)</f>
        <v>8.7</v>
      </c>
      <c r="I92" s="19"/>
    </row>
    <row r="93" customFormat="false" ht="25.5" hidden="false" customHeight="true" outlineLevel="0" collapsed="false">
      <c r="A93" s="17" t="s">
        <v>1164</v>
      </c>
      <c r="B93" s="14" t="s">
        <v>1165</v>
      </c>
      <c r="C93" s="14" t="s">
        <v>1162</v>
      </c>
      <c r="D93" s="52" t="n">
        <v>28</v>
      </c>
      <c r="E93" s="52" t="n">
        <v>42</v>
      </c>
      <c r="F93" s="52" t="n">
        <v>64</v>
      </c>
      <c r="G93" s="26" t="n">
        <f aca="false">ROUND((D93+4*E93+F93)/6,0)</f>
        <v>43</v>
      </c>
      <c r="H93" s="27" t="n">
        <f aca="false">ROUND((F93-D93)/6,1)</f>
        <v>6</v>
      </c>
      <c r="I93" s="19"/>
    </row>
    <row r="94" customFormat="false" ht="25.5" hidden="false" customHeight="true" outlineLevel="0" collapsed="false">
      <c r="A94" s="17" t="s">
        <v>1166</v>
      </c>
      <c r="B94" s="14" t="s">
        <v>964</v>
      </c>
      <c r="C94" s="14" t="s">
        <v>1167</v>
      </c>
      <c r="D94" s="52" t="n">
        <v>12</v>
      </c>
      <c r="E94" s="52" t="n">
        <v>18</v>
      </c>
      <c r="F94" s="52" t="n">
        <v>30</v>
      </c>
      <c r="G94" s="26" t="n">
        <f aca="false">ROUND((D94+4*E94+F94)/6,0)</f>
        <v>19</v>
      </c>
      <c r="H94" s="27" t="n">
        <f aca="false">ROUND((F94-D94)/6,1)</f>
        <v>3</v>
      </c>
      <c r="I94" s="19" t="s">
        <v>1168</v>
      </c>
    </row>
    <row r="95" customFormat="false" ht="25.5" hidden="false" customHeight="true" outlineLevel="0" collapsed="false">
      <c r="A95" s="17" t="s">
        <v>1169</v>
      </c>
      <c r="B95" s="14" t="s">
        <v>967</v>
      </c>
      <c r="C95" s="14" t="s">
        <v>993</v>
      </c>
      <c r="D95" s="52" t="n">
        <v>16</v>
      </c>
      <c r="E95" s="52" t="n">
        <v>24</v>
      </c>
      <c r="F95" s="52" t="n">
        <v>38</v>
      </c>
      <c r="G95" s="26" t="n">
        <f aca="false">ROUND((D95+4*E95+F95)/6,0)</f>
        <v>25</v>
      </c>
      <c r="H95" s="27" t="n">
        <f aca="false">ROUND((F95-D95)/6,1)</f>
        <v>3.7</v>
      </c>
      <c r="I95" s="19"/>
    </row>
    <row r="96" customFormat="false" ht="25.5" hidden="false" customHeight="true" outlineLevel="0" collapsed="false">
      <c r="A96" s="17" t="s">
        <v>1170</v>
      </c>
      <c r="B96" s="14" t="s">
        <v>1171</v>
      </c>
      <c r="C96" s="14" t="s">
        <v>993</v>
      </c>
      <c r="D96" s="52" t="n">
        <v>14</v>
      </c>
      <c r="E96" s="52" t="n">
        <v>20</v>
      </c>
      <c r="F96" s="52" t="n">
        <v>32</v>
      </c>
      <c r="G96" s="26" t="n">
        <f aca="false">ROUND((D96+4*E96+F96)/6,0)</f>
        <v>21</v>
      </c>
      <c r="H96" s="27" t="n">
        <f aca="false">ROUND((F96-D96)/6,1)</f>
        <v>3</v>
      </c>
      <c r="I96" s="19"/>
    </row>
    <row r="97" customFormat="false" ht="25.5" hidden="false" customHeight="true" outlineLevel="0" collapsed="false">
      <c r="A97" s="17" t="s">
        <v>1172</v>
      </c>
      <c r="B97" s="14" t="s">
        <v>971</v>
      </c>
      <c r="C97" s="14" t="s">
        <v>1162</v>
      </c>
      <c r="D97" s="52" t="n">
        <v>18</v>
      </c>
      <c r="E97" s="52" t="n">
        <v>28</v>
      </c>
      <c r="F97" s="52" t="n">
        <v>44</v>
      </c>
      <c r="G97" s="26" t="n">
        <f aca="false">ROUND((D97+4*E97+F97)/6,0)</f>
        <v>29</v>
      </c>
      <c r="H97" s="27" t="n">
        <f aca="false">ROUND((F97-D97)/6,1)</f>
        <v>4.3</v>
      </c>
      <c r="I97" s="19"/>
    </row>
    <row r="98" customFormat="false" ht="15" hidden="false" customHeight="true" outlineLevel="0" collapsed="false">
      <c r="A98" s="28"/>
      <c r="B98" s="29" t="s">
        <v>1173</v>
      </c>
      <c r="C98" s="28"/>
      <c r="D98" s="30" t="n">
        <f aca="false">SUM(D91:D97)</f>
        <v>146</v>
      </c>
      <c r="E98" s="30" t="n">
        <f aca="false">SUM(E91:E97)</f>
        <v>218</v>
      </c>
      <c r="F98" s="30" t="n">
        <f aca="false">SUM(F91:F97)</f>
        <v>340</v>
      </c>
      <c r="G98" s="30" t="n">
        <f aca="false">SUM(G91:G97)</f>
        <v>226</v>
      </c>
      <c r="H98" s="53" t="n">
        <f aca="false">ROUND(SQRT(SUMPRODUCT(H91:H97,H91:H97)),1)</f>
        <v>13.2</v>
      </c>
      <c r="I98" s="28"/>
    </row>
    <row r="100" customFormat="false" ht="15" hidden="false" customHeight="true" outlineLevel="0" collapsed="false">
      <c r="A100" s="11" t="s">
        <v>1174</v>
      </c>
      <c r="B100" s="11" t="s">
        <v>974</v>
      </c>
      <c r="C100" s="15"/>
      <c r="D100" s="15"/>
      <c r="E100" s="15"/>
      <c r="F100" s="15"/>
      <c r="G100" s="15"/>
      <c r="H100" s="15"/>
      <c r="I100" s="15"/>
    </row>
    <row r="101" customFormat="false" ht="25.5" hidden="false" customHeight="true" outlineLevel="0" collapsed="false">
      <c r="A101" s="17" t="s">
        <v>1175</v>
      </c>
      <c r="B101" s="14" t="s">
        <v>976</v>
      </c>
      <c r="C101" s="14" t="s">
        <v>977</v>
      </c>
      <c r="D101" s="52" t="n">
        <v>55</v>
      </c>
      <c r="E101" s="52" t="n">
        <v>82</v>
      </c>
      <c r="F101" s="52" t="n">
        <v>124</v>
      </c>
      <c r="G101" s="26" t="n">
        <f aca="false">ROUND((D101+4*E101+F101)/6,0)</f>
        <v>85</v>
      </c>
      <c r="H101" s="27" t="n">
        <f aca="false">ROUND((F101-D101)/6,1)</f>
        <v>11.5</v>
      </c>
      <c r="I101" s="19"/>
    </row>
    <row r="102" customFormat="false" ht="25.5" hidden="false" customHeight="true" outlineLevel="0" collapsed="false">
      <c r="A102" s="17" t="s">
        <v>1176</v>
      </c>
      <c r="B102" s="14" t="s">
        <v>1177</v>
      </c>
      <c r="C102" s="14" t="s">
        <v>977</v>
      </c>
      <c r="D102" s="52" t="n">
        <v>22</v>
      </c>
      <c r="E102" s="52" t="n">
        <v>34</v>
      </c>
      <c r="F102" s="52" t="n">
        <v>52</v>
      </c>
      <c r="G102" s="26" t="n">
        <f aca="false">ROUND((D102+4*E102+F102)/6,0)</f>
        <v>35</v>
      </c>
      <c r="H102" s="27" t="n">
        <f aca="false">ROUND((F102-D102)/6,1)</f>
        <v>5</v>
      </c>
      <c r="I102" s="19"/>
    </row>
    <row r="103" customFormat="false" ht="25.5" hidden="false" customHeight="true" outlineLevel="0" collapsed="false">
      <c r="A103" s="17" t="s">
        <v>1178</v>
      </c>
      <c r="B103" s="14" t="s">
        <v>689</v>
      </c>
      <c r="C103" s="14" t="s">
        <v>977</v>
      </c>
      <c r="D103" s="52" t="n">
        <v>16</v>
      </c>
      <c r="E103" s="52" t="n">
        <v>24</v>
      </c>
      <c r="F103" s="52" t="n">
        <v>38</v>
      </c>
      <c r="G103" s="26" t="n">
        <f aca="false">ROUND((D103+4*E103+F103)/6,0)</f>
        <v>25</v>
      </c>
      <c r="H103" s="27" t="n">
        <f aca="false">ROUND((F103-D103)/6,1)</f>
        <v>3.7</v>
      </c>
      <c r="I103" s="19"/>
    </row>
    <row r="104" customFormat="false" ht="25.5" hidden="false" customHeight="true" outlineLevel="0" collapsed="false">
      <c r="A104" s="17" t="s">
        <v>1179</v>
      </c>
      <c r="B104" s="14" t="s">
        <v>1180</v>
      </c>
      <c r="C104" s="14" t="s">
        <v>977</v>
      </c>
      <c r="D104" s="52" t="n">
        <v>12</v>
      </c>
      <c r="E104" s="52" t="n">
        <v>18</v>
      </c>
      <c r="F104" s="52" t="n">
        <v>28</v>
      </c>
      <c r="G104" s="26" t="n">
        <f aca="false">ROUND((D104+4*E104+F104)/6,0)</f>
        <v>19</v>
      </c>
      <c r="H104" s="27" t="n">
        <f aca="false">ROUND((F104-D104)/6,1)</f>
        <v>2.7</v>
      </c>
      <c r="I104" s="19"/>
    </row>
    <row r="105" customFormat="false" ht="25.5" hidden="false" customHeight="true" outlineLevel="0" collapsed="false">
      <c r="A105" s="17" t="s">
        <v>1181</v>
      </c>
      <c r="B105" s="14" t="s">
        <v>1182</v>
      </c>
      <c r="C105" s="14" t="s">
        <v>977</v>
      </c>
      <c r="D105" s="52" t="n">
        <v>18</v>
      </c>
      <c r="E105" s="52" t="n">
        <v>28</v>
      </c>
      <c r="F105" s="52" t="n">
        <v>44</v>
      </c>
      <c r="G105" s="26" t="n">
        <f aca="false">ROUND((D105+4*E105+F105)/6,0)</f>
        <v>29</v>
      </c>
      <c r="H105" s="27" t="n">
        <f aca="false">ROUND((F105-D105)/6,1)</f>
        <v>4.3</v>
      </c>
      <c r="I105" s="19"/>
    </row>
    <row r="106" customFormat="false" ht="15" hidden="false" customHeight="true" outlineLevel="0" collapsed="false">
      <c r="A106" s="28"/>
      <c r="B106" s="29" t="s">
        <v>1183</v>
      </c>
      <c r="C106" s="28"/>
      <c r="D106" s="30" t="n">
        <f aca="false">SUM(D101:D105)</f>
        <v>123</v>
      </c>
      <c r="E106" s="30" t="n">
        <f aca="false">SUM(E101:E105)</f>
        <v>186</v>
      </c>
      <c r="F106" s="30" t="n">
        <f aca="false">SUM(F101:F105)</f>
        <v>286</v>
      </c>
      <c r="G106" s="30" t="n">
        <f aca="false">SUM(G101:G105)</f>
        <v>193</v>
      </c>
      <c r="H106" s="53" t="n">
        <f aca="false">ROUND(SQRT(SUMPRODUCT(H101:H105,H101:H105)),1)</f>
        <v>14</v>
      </c>
      <c r="I106" s="28"/>
    </row>
    <row r="108" customFormat="false" ht="15" hidden="false" customHeight="true" outlineLevel="0" collapsed="false">
      <c r="A108" s="31"/>
      <c r="B108" s="32" t="s">
        <v>987</v>
      </c>
      <c r="C108" s="31"/>
      <c r="D108" s="33" t="n">
        <f aca="false">D8+D14+D24+D35+D42+D52+D64+D73+D80+D88+D98+D106</f>
        <v>1183</v>
      </c>
      <c r="E108" s="33" t="n">
        <f aca="false">E8+E14+E24+E35+E42+E52+E64+E73+E80+E88+E98+E106</f>
        <v>1776</v>
      </c>
      <c r="F108" s="33" t="n">
        <f aca="false">F8+F14+F24+F35+F42+F52+F64+F73+F80+F88+F98+F106</f>
        <v>2778</v>
      </c>
      <c r="G108" s="33" t="n">
        <f aca="false">G8+G14+G24+G35+G42+G52+G64+G73+G80+G88+G98+G106</f>
        <v>1849</v>
      </c>
      <c r="H108" s="60" t="n">
        <f aca="false">ROUND(SQRT(H8^2+H14^2+H24^2+H35^2+H42^2+H52^2+H64^2+H73^2+H80^2+H88^2+H98^2+H106^2),1)</f>
        <v>35</v>
      </c>
      <c r="I108" s="31"/>
    </row>
  </sheetData>
  <sheetProtection sheet="true"/>
  <dataValidations count="1">
    <dataValidation allowBlank="true" error="This must be a number of zero or more." errorStyle="stop" errorTitle="Not a number" operator="between" prompt="This must be a number of zero or more." promptTitle="Input cell" showDropDown="false" showErrorMessage="true" showInputMessage="false" sqref="D6:F7 D11:F13 D17:F23 D27:F34 D38:F41 D45:F51 D55:F63 D67:F72 D76:F79 D83:F87 D91:F97 D101:F105" type="decimal">
      <formula1>0</formula1>
      <formula2>1000000000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4"/>
    <col collapsed="false" customWidth="true" hidden="false" outlineLevel="0" max="7" min="3" style="1" width="13"/>
    <col collapsed="false" customWidth="true" hidden="false" outlineLevel="0" max="8" min="8" style="1" width="50"/>
  </cols>
  <sheetData>
    <row r="1" customFormat="false" ht="17.25" hidden="false" customHeight="true" outlineLevel="0" collapsed="false">
      <c r="A1" s="2" t="s">
        <v>1184</v>
      </c>
    </row>
    <row r="2" customFormat="false" ht="15" hidden="false" customHeight="true" outlineLevel="0" collapsed="false">
      <c r="A2" s="3" t="s">
        <v>1185</v>
      </c>
    </row>
    <row r="4" customFormat="false" ht="15" hidden="false" customHeight="true" outlineLevel="0" collapsed="false">
      <c r="B4" s="11" t="s">
        <v>1186</v>
      </c>
      <c r="C4" s="15"/>
      <c r="D4" s="15"/>
      <c r="E4" s="15"/>
      <c r="F4" s="15"/>
      <c r="G4" s="15"/>
      <c r="H4" s="15"/>
    </row>
    <row r="5" customFormat="false" ht="42" hidden="false" customHeight="true" outlineLevel="0" collapsed="false">
      <c r="B5" s="4" t="s">
        <v>1187</v>
      </c>
      <c r="C5" s="67" t="s">
        <v>1188</v>
      </c>
      <c r="D5" s="67"/>
      <c r="E5" s="67"/>
      <c r="F5" s="67"/>
      <c r="G5" s="67"/>
      <c r="H5" s="67"/>
    </row>
    <row r="6" customFormat="false" ht="42" hidden="false" customHeight="true" outlineLevel="0" collapsed="false">
      <c r="B6" s="4" t="s">
        <v>1189</v>
      </c>
      <c r="C6" s="67" t="s">
        <v>1190</v>
      </c>
      <c r="D6" s="67"/>
      <c r="E6" s="67"/>
      <c r="F6" s="67"/>
      <c r="G6" s="67"/>
      <c r="H6" s="67"/>
    </row>
    <row r="7" customFormat="false" ht="42" hidden="false" customHeight="true" outlineLevel="0" collapsed="false">
      <c r="B7" s="4" t="s">
        <v>1191</v>
      </c>
      <c r="C7" s="67" t="s">
        <v>1192</v>
      </c>
      <c r="D7" s="67"/>
      <c r="E7" s="67"/>
      <c r="F7" s="67"/>
      <c r="G7" s="67"/>
      <c r="H7" s="67"/>
    </row>
    <row r="8" customFormat="false" ht="42" hidden="false" customHeight="true" outlineLevel="0" collapsed="false">
      <c r="B8" s="4" t="s">
        <v>1193</v>
      </c>
      <c r="C8" s="67" t="s">
        <v>1194</v>
      </c>
      <c r="D8" s="67"/>
      <c r="E8" s="67"/>
      <c r="F8" s="67"/>
      <c r="G8" s="67"/>
      <c r="H8" s="67"/>
    </row>
    <row r="9" customFormat="false" ht="30" hidden="false" customHeight="true" outlineLevel="0" collapsed="false">
      <c r="B9" s="4" t="s">
        <v>1195</v>
      </c>
      <c r="C9" s="67" t="s">
        <v>1196</v>
      </c>
      <c r="D9" s="67"/>
      <c r="E9" s="67"/>
      <c r="F9" s="67"/>
      <c r="G9" s="67"/>
      <c r="H9" s="67"/>
    </row>
    <row r="11" customFormat="false" ht="15" hidden="false" customHeight="true" outlineLevel="0" collapsed="false">
      <c r="B11" s="11" t="s">
        <v>1197</v>
      </c>
      <c r="C11" s="15"/>
      <c r="D11" s="15"/>
      <c r="E11" s="15"/>
      <c r="F11" s="15"/>
      <c r="G11" s="15"/>
      <c r="H11" s="15"/>
    </row>
    <row r="12" customFormat="false" ht="15" hidden="false" customHeight="true" outlineLevel="0" collapsed="false">
      <c r="B12" s="13" t="s">
        <v>1198</v>
      </c>
      <c r="C12" s="68" t="s">
        <v>1199</v>
      </c>
    </row>
    <row r="13" customFormat="false" ht="15" hidden="false" customHeight="true" outlineLevel="0" collapsed="false">
      <c r="B13" s="13" t="s">
        <v>1200</v>
      </c>
      <c r="C13" s="68" t="s">
        <v>1201</v>
      </c>
    </row>
    <row r="14" customFormat="false" ht="15" hidden="false" customHeight="true" outlineLevel="0" collapsed="false">
      <c r="B14" s="13" t="s">
        <v>1202</v>
      </c>
      <c r="C14" s="68" t="s">
        <v>1203</v>
      </c>
    </row>
    <row r="15" customFormat="false" ht="15" hidden="false" customHeight="true" outlineLevel="0" collapsed="false">
      <c r="B15" s="13" t="s">
        <v>1204</v>
      </c>
      <c r="C15" s="68" t="s">
        <v>1205</v>
      </c>
    </row>
    <row r="16" customFormat="false" ht="15" hidden="false" customHeight="true" outlineLevel="0" collapsed="false">
      <c r="B16" s="13" t="s">
        <v>1206</v>
      </c>
      <c r="C16" s="68" t="s">
        <v>1207</v>
      </c>
    </row>
    <row r="17" customFormat="false" ht="15" hidden="false" customHeight="true" outlineLevel="0" collapsed="false">
      <c r="B17" s="13" t="s">
        <v>1208</v>
      </c>
      <c r="C17" s="68" t="s">
        <v>1209</v>
      </c>
    </row>
    <row r="18" customFormat="false" ht="15" hidden="false" customHeight="true" outlineLevel="0" collapsed="false">
      <c r="B18" s="13" t="s">
        <v>1210</v>
      </c>
      <c r="C18" s="68" t="s">
        <v>1211</v>
      </c>
    </row>
    <row r="19" customFormat="false" ht="15" hidden="false" customHeight="true" outlineLevel="0" collapsed="false">
      <c r="B19" s="13" t="s">
        <v>1212</v>
      </c>
      <c r="C19" s="68" t="s">
        <v>1213</v>
      </c>
    </row>
    <row r="20" customFormat="false" ht="15" hidden="false" customHeight="true" outlineLevel="0" collapsed="false">
      <c r="B20" s="13" t="s">
        <v>1214</v>
      </c>
      <c r="C20" s="68" t="s">
        <v>1215</v>
      </c>
    </row>
    <row r="22" customFormat="false" ht="15" hidden="false" customHeight="true" outlineLevel="0" collapsed="false">
      <c r="B22" s="11" t="s">
        <v>1216</v>
      </c>
      <c r="C22" s="15"/>
      <c r="D22" s="15"/>
      <c r="E22" s="15"/>
      <c r="F22" s="15"/>
      <c r="G22" s="15"/>
      <c r="H22" s="15"/>
    </row>
    <row r="23" customFormat="false" ht="30" hidden="false" customHeight="true" outlineLevel="0" collapsed="false">
      <c r="A23" s="16"/>
      <c r="B23" s="16" t="s">
        <v>1191</v>
      </c>
      <c r="C23" s="16" t="s">
        <v>1217</v>
      </c>
      <c r="D23" s="16" t="s">
        <v>1218</v>
      </c>
      <c r="E23" s="16" t="s">
        <v>1219</v>
      </c>
      <c r="F23" s="16" t="s">
        <v>1220</v>
      </c>
      <c r="G23" s="16" t="s">
        <v>1221</v>
      </c>
      <c r="H23" s="16" t="s">
        <v>784</v>
      </c>
    </row>
    <row r="24" customFormat="false" ht="24" hidden="false" customHeight="true" outlineLevel="0" collapsed="false">
      <c r="B24" s="17" t="s">
        <v>1222</v>
      </c>
      <c r="C24" s="26" t="n">
        <v>3446</v>
      </c>
      <c r="D24" s="26" t="n">
        <v>3574</v>
      </c>
      <c r="E24" s="26" t="n">
        <v>3619</v>
      </c>
      <c r="F24" s="26" t="n">
        <v>3670</v>
      </c>
      <c r="G24" s="26" t="n">
        <v>3708</v>
      </c>
      <c r="H24" s="19" t="s">
        <v>1223</v>
      </c>
    </row>
    <row r="25" customFormat="false" ht="24" hidden="false" customHeight="true" outlineLevel="0" collapsed="false">
      <c r="B25" s="17" t="s">
        <v>1224</v>
      </c>
      <c r="C25" s="26" t="n">
        <v>3431</v>
      </c>
      <c r="D25" s="26" t="n">
        <v>3572</v>
      </c>
      <c r="E25" s="26" t="n">
        <v>3652</v>
      </c>
      <c r="F25" s="26" t="n">
        <v>3756</v>
      </c>
      <c r="G25" s="26" t="n">
        <v>3838</v>
      </c>
      <c r="H25" s="19" t="s">
        <v>1225</v>
      </c>
    </row>
    <row r="26" customFormat="false" ht="24" hidden="false" customHeight="true" outlineLevel="0" collapsed="false">
      <c r="B26" s="21" t="s">
        <v>1226</v>
      </c>
      <c r="C26" s="69" t="n">
        <v>3424</v>
      </c>
      <c r="D26" s="69" t="n">
        <v>3605</v>
      </c>
      <c r="E26" s="69" t="n">
        <v>3714</v>
      </c>
      <c r="F26" s="69" t="n">
        <v>3861</v>
      </c>
      <c r="G26" s="69" t="n">
        <v>3984</v>
      </c>
      <c r="H26" s="22" t="s">
        <v>1227</v>
      </c>
    </row>
    <row r="27" customFormat="false" ht="24" hidden="false" customHeight="true" outlineLevel="0" collapsed="false">
      <c r="B27" s="17" t="s">
        <v>1228</v>
      </c>
      <c r="C27" s="26" t="n">
        <v>3417</v>
      </c>
      <c r="D27" s="26" t="n">
        <v>3654</v>
      </c>
      <c r="E27" s="26" t="n">
        <v>3797</v>
      </c>
      <c r="F27" s="26" t="n">
        <v>3994</v>
      </c>
      <c r="G27" s="26" t="n">
        <v>4154</v>
      </c>
      <c r="H27" s="19" t="s">
        <v>1229</v>
      </c>
    </row>
    <row r="29" customFormat="false" ht="15" hidden="false" customHeight="true" outlineLevel="0" collapsed="false">
      <c r="B29" s="11" t="s">
        <v>1230</v>
      </c>
      <c r="C29" s="15"/>
      <c r="D29" s="15"/>
      <c r="E29" s="15"/>
      <c r="F29" s="15"/>
      <c r="G29" s="15"/>
      <c r="H29" s="15"/>
    </row>
    <row r="30" customFormat="false" ht="21.75" hidden="false" customHeight="true" outlineLevel="0" collapsed="false">
      <c r="B30" s="17" t="s">
        <v>696</v>
      </c>
      <c r="C30" s="34" t="n">
        <v>3424</v>
      </c>
      <c r="D30" s="35" t="s">
        <v>697</v>
      </c>
      <c r="H30" s="19" t="s">
        <v>1231</v>
      </c>
    </row>
    <row r="31" customFormat="false" ht="21.75" hidden="false" customHeight="true" outlineLevel="0" collapsed="false">
      <c r="B31" s="21" t="s">
        <v>1232</v>
      </c>
      <c r="C31" s="36" t="n">
        <v>3714</v>
      </c>
      <c r="D31" s="37" t="s">
        <v>697</v>
      </c>
      <c r="H31" s="22" t="s">
        <v>1233</v>
      </c>
    </row>
    <row r="32" customFormat="false" ht="21.75" hidden="false" customHeight="true" outlineLevel="0" collapsed="false">
      <c r="B32" s="17" t="s">
        <v>701</v>
      </c>
      <c r="C32" s="34" t="n">
        <v>3861</v>
      </c>
      <c r="D32" s="35" t="s">
        <v>697</v>
      </c>
      <c r="H32" s="19" t="s">
        <v>1234</v>
      </c>
    </row>
    <row r="33" customFormat="false" ht="21.75" hidden="false" customHeight="true" outlineLevel="0" collapsed="false">
      <c r="B33" s="17" t="s">
        <v>1235</v>
      </c>
      <c r="C33" s="34" t="n">
        <v>3500</v>
      </c>
      <c r="D33" s="35" t="s">
        <v>697</v>
      </c>
      <c r="H33" s="19" t="s">
        <v>1236</v>
      </c>
    </row>
    <row r="35" customFormat="false" ht="25.5" hidden="false" customHeight="true" outlineLevel="0" collapsed="false">
      <c r="B35" s="13" t="s">
        <v>1237</v>
      </c>
      <c r="C35" s="26" t="n">
        <v>106</v>
      </c>
      <c r="H35" s="19" t="s">
        <v>1238</v>
      </c>
    </row>
    <row r="37" customFormat="false" ht="15" hidden="false" customHeight="true" outlineLevel="0" collapsed="false">
      <c r="B37" s="11" t="s">
        <v>1239</v>
      </c>
      <c r="C37" s="15"/>
      <c r="D37" s="15"/>
      <c r="E37" s="15"/>
      <c r="F37" s="15"/>
      <c r="G37" s="15"/>
      <c r="H37" s="15"/>
    </row>
    <row r="38" customFormat="false" ht="15" hidden="false" customHeight="true" outlineLevel="0" collapsed="false">
      <c r="B38" s="13" t="s">
        <v>1240</v>
      </c>
      <c r="C38" s="13" t="s">
        <v>1241</v>
      </c>
    </row>
    <row r="39" customFormat="false" ht="15" hidden="false" customHeight="true" outlineLevel="0" collapsed="false">
      <c r="B39" s="26" t="n">
        <v>2092</v>
      </c>
      <c r="C39" s="26" t="n">
        <v>5</v>
      </c>
    </row>
    <row r="40" customFormat="false" ht="15" hidden="false" customHeight="true" outlineLevel="0" collapsed="false">
      <c r="B40" s="26" t="n">
        <v>2183</v>
      </c>
      <c r="C40" s="26" t="n">
        <v>5</v>
      </c>
    </row>
    <row r="41" customFormat="false" ht="15" hidden="false" customHeight="true" outlineLevel="0" collapsed="false">
      <c r="B41" s="26" t="n">
        <v>2274</v>
      </c>
      <c r="C41" s="26" t="n">
        <v>48</v>
      </c>
    </row>
    <row r="42" customFormat="false" ht="15" hidden="false" customHeight="true" outlineLevel="0" collapsed="false">
      <c r="B42" s="26" t="n">
        <v>2365</v>
      </c>
      <c r="C42" s="26" t="n">
        <v>155</v>
      </c>
    </row>
    <row r="43" customFormat="false" ht="15" hidden="false" customHeight="true" outlineLevel="0" collapsed="false">
      <c r="B43" s="26" t="n">
        <v>2456</v>
      </c>
      <c r="C43" s="26" t="n">
        <v>350</v>
      </c>
    </row>
    <row r="44" customFormat="false" ht="15" hidden="false" customHeight="true" outlineLevel="0" collapsed="false">
      <c r="B44" s="26" t="n">
        <v>2547</v>
      </c>
      <c r="C44" s="26" t="n">
        <v>786</v>
      </c>
    </row>
    <row r="45" customFormat="false" ht="15" hidden="false" customHeight="true" outlineLevel="0" collapsed="false">
      <c r="B45" s="26" t="n">
        <v>2638</v>
      </c>
      <c r="C45" s="26" t="n">
        <v>1501</v>
      </c>
    </row>
    <row r="46" customFormat="false" ht="15" hidden="false" customHeight="true" outlineLevel="0" collapsed="false">
      <c r="B46" s="26" t="n">
        <v>2729</v>
      </c>
      <c r="C46" s="26" t="n">
        <v>2590</v>
      </c>
    </row>
    <row r="47" customFormat="false" ht="15" hidden="false" customHeight="true" outlineLevel="0" collapsed="false">
      <c r="B47" s="26" t="n">
        <v>2820</v>
      </c>
      <c r="C47" s="26" t="n">
        <v>3921</v>
      </c>
    </row>
    <row r="48" customFormat="false" ht="15" hidden="false" customHeight="true" outlineLevel="0" collapsed="false">
      <c r="B48" s="26" t="n">
        <v>2911</v>
      </c>
      <c r="C48" s="26" t="n">
        <v>5495</v>
      </c>
    </row>
    <row r="49" customFormat="false" ht="15" hidden="false" customHeight="true" outlineLevel="0" collapsed="false">
      <c r="B49" s="26" t="n">
        <v>3002</v>
      </c>
      <c r="C49" s="26" t="n">
        <v>7225</v>
      </c>
    </row>
    <row r="50" customFormat="false" ht="15" hidden="false" customHeight="true" outlineLevel="0" collapsed="false">
      <c r="B50" s="26" t="n">
        <v>3093</v>
      </c>
      <c r="C50" s="26" t="n">
        <v>8474</v>
      </c>
    </row>
    <row r="51" customFormat="false" ht="15" hidden="false" customHeight="true" outlineLevel="0" collapsed="false">
      <c r="B51" s="26" t="n">
        <v>3184</v>
      </c>
      <c r="C51" s="26" t="n">
        <v>9563</v>
      </c>
    </row>
    <row r="52" customFormat="false" ht="15" hidden="false" customHeight="true" outlineLevel="0" collapsed="false">
      <c r="B52" s="26" t="n">
        <v>3274</v>
      </c>
      <c r="C52" s="26" t="n">
        <v>10350</v>
      </c>
    </row>
    <row r="53" customFormat="false" ht="15" hidden="false" customHeight="true" outlineLevel="0" collapsed="false">
      <c r="B53" s="26" t="n">
        <v>3365</v>
      </c>
      <c r="C53" s="26" t="n">
        <v>10296</v>
      </c>
    </row>
    <row r="54" customFormat="false" ht="15" hidden="false" customHeight="true" outlineLevel="0" collapsed="false">
      <c r="B54" s="26" t="n">
        <v>3456</v>
      </c>
      <c r="C54" s="26" t="n">
        <v>9685</v>
      </c>
    </row>
    <row r="55" customFormat="false" ht="15" hidden="false" customHeight="true" outlineLevel="0" collapsed="false">
      <c r="B55" s="26" t="n">
        <v>3547</v>
      </c>
      <c r="C55" s="26" t="n">
        <v>8343</v>
      </c>
    </row>
    <row r="56" customFormat="false" ht="15" hidden="false" customHeight="true" outlineLevel="0" collapsed="false">
      <c r="B56" s="26" t="n">
        <v>3638</v>
      </c>
      <c r="C56" s="26" t="n">
        <v>6899</v>
      </c>
    </row>
    <row r="57" customFormat="false" ht="15" hidden="false" customHeight="true" outlineLevel="0" collapsed="false">
      <c r="B57" s="26" t="n">
        <v>3729</v>
      </c>
      <c r="C57" s="26" t="n">
        <v>5328</v>
      </c>
    </row>
    <row r="58" customFormat="false" ht="15" hidden="false" customHeight="true" outlineLevel="0" collapsed="false">
      <c r="B58" s="26" t="n">
        <v>3820</v>
      </c>
      <c r="C58" s="26" t="n">
        <v>3591</v>
      </c>
    </row>
    <row r="59" customFormat="false" ht="15" hidden="false" customHeight="true" outlineLevel="0" collapsed="false">
      <c r="B59" s="26" t="n">
        <v>3911</v>
      </c>
      <c r="C59" s="26" t="n">
        <v>2417</v>
      </c>
    </row>
    <row r="60" customFormat="false" ht="15" hidden="false" customHeight="true" outlineLevel="0" collapsed="false">
      <c r="B60" s="26" t="n">
        <v>4002</v>
      </c>
      <c r="C60" s="26" t="n">
        <v>1486</v>
      </c>
    </row>
    <row r="61" customFormat="false" ht="15" hidden="false" customHeight="true" outlineLevel="0" collapsed="false">
      <c r="B61" s="26" t="n">
        <v>4093</v>
      </c>
      <c r="C61" s="26" t="n">
        <v>809</v>
      </c>
    </row>
    <row r="62" customFormat="false" ht="15" hidden="false" customHeight="true" outlineLevel="0" collapsed="false">
      <c r="B62" s="26" t="n">
        <v>4184</v>
      </c>
      <c r="C62" s="26" t="n">
        <v>408</v>
      </c>
    </row>
    <row r="63" customFormat="false" ht="15" hidden="false" customHeight="true" outlineLevel="0" collapsed="false">
      <c r="B63" s="26" t="n">
        <v>4275</v>
      </c>
      <c r="C63" s="26" t="n">
        <v>186</v>
      </c>
    </row>
    <row r="64" customFormat="false" ht="15" hidden="false" customHeight="true" outlineLevel="0" collapsed="false">
      <c r="B64" s="26" t="n">
        <v>4366</v>
      </c>
      <c r="C64" s="26" t="n">
        <v>55</v>
      </c>
    </row>
    <row r="65" customFormat="false" ht="15" hidden="false" customHeight="true" outlineLevel="0" collapsed="false">
      <c r="B65" s="26" t="n">
        <v>4457</v>
      </c>
      <c r="C65" s="26" t="n">
        <v>22</v>
      </c>
    </row>
    <row r="66" customFormat="false" ht="15" hidden="false" customHeight="true" outlineLevel="0" collapsed="false">
      <c r="B66" s="26" t="n">
        <v>4548</v>
      </c>
      <c r="C66" s="26" t="n">
        <v>7</v>
      </c>
    </row>
  </sheetData>
  <sheetProtection sheet="true"/>
  <mergeCells count="5">
    <mergeCell ref="C5:H5"/>
    <mergeCell ref="C6:H6"/>
    <mergeCell ref="C7:H7"/>
    <mergeCell ref="C8:H8"/>
    <mergeCell ref="C9:H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0"/>
    <col collapsed="false" customWidth="true" hidden="false" outlineLevel="0" max="5" min="3" style="1" width="12"/>
    <col collapsed="false" customWidth="true" hidden="false" outlineLevel="0" max="6" min="6" style="1" width="54"/>
  </cols>
  <sheetData>
    <row r="1" customFormat="false" ht="17.25" hidden="false" customHeight="true" outlineLevel="0" collapsed="false">
      <c r="A1" s="2" t="s">
        <v>1242</v>
      </c>
    </row>
    <row r="2" customFormat="false" ht="15" hidden="false" customHeight="true" outlineLevel="0" collapsed="false">
      <c r="A2" s="3" t="s">
        <v>1243</v>
      </c>
    </row>
    <row r="4" customFormat="false" ht="30" hidden="false" customHeight="true" outlineLevel="0" collapsed="false">
      <c r="A4" s="16" t="s">
        <v>95</v>
      </c>
      <c r="B4" s="16" t="s">
        <v>562</v>
      </c>
      <c r="C4" s="16" t="s">
        <v>566</v>
      </c>
      <c r="D4" s="16" t="s">
        <v>1244</v>
      </c>
      <c r="E4" s="16" t="s">
        <v>1245</v>
      </c>
      <c r="F4" s="16" t="s">
        <v>1246</v>
      </c>
    </row>
    <row r="5" customFormat="false" ht="15" hidden="false" customHeight="true" outlineLevel="0" collapsed="false">
      <c r="A5" s="17" t="s">
        <v>570</v>
      </c>
      <c r="B5" s="14" t="s">
        <v>839</v>
      </c>
      <c r="C5" s="70" t="n">
        <f aca="false">'Effort - Mobile &amp; IPRS'!G6</f>
        <v>33</v>
      </c>
      <c r="D5" s="68" t="s">
        <v>1247</v>
      </c>
      <c r="E5" s="26" t="n">
        <f aca="false">IF(D5="Phase 1",C5,0)</f>
        <v>33</v>
      </c>
      <c r="F5" s="71"/>
    </row>
    <row r="6" customFormat="false" ht="15" hidden="false" customHeight="true" outlineLevel="0" collapsed="false">
      <c r="A6" s="17" t="s">
        <v>573</v>
      </c>
      <c r="B6" s="14" t="s">
        <v>842</v>
      </c>
      <c r="C6" s="70" t="n">
        <f aca="false">'Effort - Mobile &amp; IPRS'!G7</f>
        <v>29</v>
      </c>
      <c r="D6" s="68" t="s">
        <v>1247</v>
      </c>
      <c r="E6" s="26" t="n">
        <f aca="false">IF(D6="Phase 1",C6,0)</f>
        <v>29</v>
      </c>
      <c r="F6" s="71"/>
    </row>
    <row r="7" customFormat="false" ht="15" hidden="false" customHeight="true" outlineLevel="0" collapsed="false">
      <c r="A7" s="17" t="s">
        <v>753</v>
      </c>
      <c r="B7" s="14" t="s">
        <v>847</v>
      </c>
      <c r="C7" s="70" t="n">
        <f aca="false">'Effort - Mobile &amp; IPRS'!G11</f>
        <v>27</v>
      </c>
      <c r="D7" s="68" t="s">
        <v>1247</v>
      </c>
      <c r="E7" s="26" t="n">
        <f aca="false">IF(D7="Phase 1",C7,0)</f>
        <v>27</v>
      </c>
      <c r="F7" s="71"/>
    </row>
    <row r="8" customFormat="false" ht="15" hidden="false" customHeight="true" outlineLevel="0" collapsed="false">
      <c r="A8" s="17" t="s">
        <v>756</v>
      </c>
      <c r="B8" s="14" t="s">
        <v>850</v>
      </c>
      <c r="C8" s="70" t="n">
        <f aca="false">'Effort - Mobile &amp; IPRS'!G12</f>
        <v>37</v>
      </c>
      <c r="D8" s="72" t="s">
        <v>1248</v>
      </c>
      <c r="E8" s="26" t="n">
        <f aca="false">IF(D8="Phase 1",C8,0)</f>
        <v>0</v>
      </c>
      <c r="F8" s="19" t="s">
        <v>1249</v>
      </c>
    </row>
    <row r="9" customFormat="false" ht="15" hidden="false" customHeight="true" outlineLevel="0" collapsed="false">
      <c r="A9" s="17" t="s">
        <v>759</v>
      </c>
      <c r="B9" s="14" t="s">
        <v>851</v>
      </c>
      <c r="C9" s="70" t="n">
        <f aca="false">'Effort - Mobile &amp; IPRS'!G13</f>
        <v>29</v>
      </c>
      <c r="D9" s="68" t="s">
        <v>1247</v>
      </c>
      <c r="E9" s="26" t="n">
        <f aca="false">IF(D9="Phase 1",C9,0)</f>
        <v>29</v>
      </c>
      <c r="F9" s="71"/>
    </row>
    <row r="10" customFormat="false" ht="15" hidden="false" customHeight="true" outlineLevel="0" collapsed="false">
      <c r="A10" s="17" t="s">
        <v>603</v>
      </c>
      <c r="B10" s="14" t="s">
        <v>856</v>
      </c>
      <c r="C10" s="70" t="n">
        <f aca="false">'Effort - Mobile &amp; IPRS'!G17</f>
        <v>35</v>
      </c>
      <c r="D10" s="72" t="s">
        <v>1248</v>
      </c>
      <c r="E10" s="26" t="n">
        <f aca="false">IF(D10="Phase 1",C10,0)</f>
        <v>0</v>
      </c>
      <c r="F10" s="19" t="s">
        <v>1250</v>
      </c>
    </row>
    <row r="11" customFormat="false" ht="15" hidden="false" customHeight="true" outlineLevel="0" collapsed="false">
      <c r="A11" s="17" t="s">
        <v>606</v>
      </c>
      <c r="B11" s="14" t="s">
        <v>857</v>
      </c>
      <c r="C11" s="70" t="n">
        <f aca="false">'Effort - Mobile &amp; IPRS'!G18</f>
        <v>31</v>
      </c>
      <c r="D11" s="72" t="s">
        <v>1248</v>
      </c>
      <c r="E11" s="26" t="n">
        <f aca="false">IF(D11="Phase 1",C11,0)</f>
        <v>0</v>
      </c>
      <c r="F11" s="19" t="s">
        <v>1250</v>
      </c>
    </row>
    <row r="12" customFormat="false" ht="15" hidden="false" customHeight="true" outlineLevel="0" collapsed="false">
      <c r="A12" s="17" t="s">
        <v>609</v>
      </c>
      <c r="B12" s="14" t="s">
        <v>860</v>
      </c>
      <c r="C12" s="70" t="n">
        <f aca="false">'Effort - Mobile &amp; IPRS'!G19</f>
        <v>41</v>
      </c>
      <c r="D12" s="72" t="s">
        <v>1248</v>
      </c>
      <c r="E12" s="26" t="n">
        <f aca="false">IF(D12="Phase 1",C12,0)</f>
        <v>0</v>
      </c>
      <c r="F12" s="19" t="s">
        <v>1250</v>
      </c>
    </row>
    <row r="13" customFormat="false" ht="15" hidden="false" customHeight="true" outlineLevel="0" collapsed="false">
      <c r="A13" s="17" t="s">
        <v>808</v>
      </c>
      <c r="B13" s="14" t="s">
        <v>863</v>
      </c>
      <c r="C13" s="70" t="n">
        <f aca="false">'Effort - Mobile &amp; IPRS'!G20</f>
        <v>23</v>
      </c>
      <c r="D13" s="72" t="s">
        <v>1248</v>
      </c>
      <c r="E13" s="26" t="n">
        <f aca="false">IF(D13="Phase 1",C13,0)</f>
        <v>0</v>
      </c>
      <c r="F13" s="19" t="s">
        <v>1250</v>
      </c>
    </row>
    <row r="14" customFormat="false" ht="15" hidden="false" customHeight="true" outlineLevel="0" collapsed="false">
      <c r="A14" s="17" t="s">
        <v>866</v>
      </c>
      <c r="B14" s="14" t="s">
        <v>867</v>
      </c>
      <c r="C14" s="70" t="n">
        <f aca="false">'Effort - Mobile &amp; IPRS'!G21</f>
        <v>31</v>
      </c>
      <c r="D14" s="72" t="s">
        <v>1248</v>
      </c>
      <c r="E14" s="26" t="n">
        <f aca="false">IF(D14="Phase 1",C14,0)</f>
        <v>0</v>
      </c>
      <c r="F14" s="19" t="s">
        <v>1250</v>
      </c>
    </row>
    <row r="15" customFormat="false" ht="15" hidden="false" customHeight="true" outlineLevel="0" collapsed="false">
      <c r="A15" s="17" t="s">
        <v>869</v>
      </c>
      <c r="B15" s="14" t="s">
        <v>870</v>
      </c>
      <c r="C15" s="70" t="n">
        <f aca="false">'Effort - Mobile &amp; IPRS'!G22</f>
        <v>46</v>
      </c>
      <c r="D15" s="72" t="s">
        <v>1248</v>
      </c>
      <c r="E15" s="26" t="n">
        <f aca="false">IF(D15="Phase 1",C15,0)</f>
        <v>0</v>
      </c>
      <c r="F15" s="19" t="s">
        <v>1250</v>
      </c>
    </row>
    <row r="16" customFormat="false" ht="15" hidden="false" customHeight="true" outlineLevel="0" collapsed="false">
      <c r="A16" s="17" t="s">
        <v>873</v>
      </c>
      <c r="B16" s="14" t="s">
        <v>874</v>
      </c>
      <c r="C16" s="70" t="n">
        <f aca="false">'Effort - Mobile &amp; IPRS'!G23</f>
        <v>31</v>
      </c>
      <c r="D16" s="72" t="s">
        <v>1248</v>
      </c>
      <c r="E16" s="26" t="n">
        <f aca="false">IF(D16="Phase 1",C16,0)</f>
        <v>0</v>
      </c>
      <c r="F16" s="19" t="s">
        <v>1250</v>
      </c>
    </row>
    <row r="17" customFormat="false" ht="15" hidden="false" customHeight="true" outlineLevel="0" collapsed="false">
      <c r="A17" s="17" t="s">
        <v>877</v>
      </c>
      <c r="B17" s="14" t="s">
        <v>878</v>
      </c>
      <c r="C17" s="70" t="n">
        <f aca="false">'Effort - Mobile &amp; IPRS'!G24</f>
        <v>19</v>
      </c>
      <c r="D17" s="72" t="s">
        <v>1248</v>
      </c>
      <c r="E17" s="26" t="n">
        <f aca="false">IF(D17="Phase 1",C17,0)</f>
        <v>0</v>
      </c>
      <c r="F17" s="19" t="s">
        <v>1250</v>
      </c>
    </row>
    <row r="18" customFormat="false" ht="15" hidden="false" customHeight="true" outlineLevel="0" collapsed="false">
      <c r="A18" s="17" t="s">
        <v>880</v>
      </c>
      <c r="B18" s="14" t="s">
        <v>881</v>
      </c>
      <c r="C18" s="70" t="n">
        <f aca="false">'Effort - Mobile &amp; IPRS'!G25</f>
        <v>21</v>
      </c>
      <c r="D18" s="72" t="s">
        <v>1248</v>
      </c>
      <c r="E18" s="26" t="n">
        <f aca="false">IF(D18="Phase 1",C18,0)</f>
        <v>0</v>
      </c>
      <c r="F18" s="19" t="s">
        <v>1250</v>
      </c>
    </row>
    <row r="19" customFormat="false" ht="15" hidden="false" customHeight="true" outlineLevel="0" collapsed="false">
      <c r="A19" s="17" t="s">
        <v>883</v>
      </c>
      <c r="B19" s="14" t="s">
        <v>884</v>
      </c>
      <c r="C19" s="70" t="n">
        <f aca="false">'Effort - Mobile &amp; IPRS'!G26</f>
        <v>26</v>
      </c>
      <c r="D19" s="72" t="s">
        <v>1248</v>
      </c>
      <c r="E19" s="26" t="n">
        <f aca="false">IF(D19="Phase 1",C19,0)</f>
        <v>0</v>
      </c>
      <c r="F19" s="19" t="s">
        <v>1250</v>
      </c>
    </row>
    <row r="20" customFormat="false" ht="15" hidden="false" customHeight="true" outlineLevel="0" collapsed="false">
      <c r="A20" s="17" t="s">
        <v>885</v>
      </c>
      <c r="B20" s="14" t="s">
        <v>886</v>
      </c>
      <c r="C20" s="70" t="n">
        <f aca="false">'Effort - Mobile &amp; IPRS'!G27</f>
        <v>21</v>
      </c>
      <c r="D20" s="72" t="s">
        <v>1248</v>
      </c>
      <c r="E20" s="26" t="n">
        <f aca="false">IF(D20="Phase 1",C20,0)</f>
        <v>0</v>
      </c>
      <c r="F20" s="19" t="s">
        <v>1250</v>
      </c>
    </row>
    <row r="21" customFormat="false" ht="15" hidden="false" customHeight="true" outlineLevel="0" collapsed="false">
      <c r="A21" s="17" t="s">
        <v>888</v>
      </c>
      <c r="B21" s="14" t="s">
        <v>889</v>
      </c>
      <c r="C21" s="70" t="n">
        <f aca="false">'Effort - Mobile &amp; IPRS'!G28</f>
        <v>21</v>
      </c>
      <c r="D21" s="72" t="s">
        <v>1248</v>
      </c>
      <c r="E21" s="26" t="n">
        <f aca="false">IF(D21="Phase 1",C21,0)</f>
        <v>0</v>
      </c>
      <c r="F21" s="19" t="s">
        <v>1250</v>
      </c>
    </row>
    <row r="22" customFormat="false" ht="15" hidden="false" customHeight="true" outlineLevel="0" collapsed="false">
      <c r="A22" s="17" t="s">
        <v>890</v>
      </c>
      <c r="B22" s="14" t="s">
        <v>891</v>
      </c>
      <c r="C22" s="70" t="n">
        <f aca="false">'Effort - Mobile &amp; IPRS'!G29</f>
        <v>13</v>
      </c>
      <c r="D22" s="72" t="s">
        <v>1248</v>
      </c>
      <c r="E22" s="26" t="n">
        <f aca="false">IF(D22="Phase 1",C22,0)</f>
        <v>0</v>
      </c>
      <c r="F22" s="19" t="s">
        <v>1250</v>
      </c>
    </row>
    <row r="23" customFormat="false" ht="15" hidden="false" customHeight="true" outlineLevel="0" collapsed="false">
      <c r="A23" s="17" t="s">
        <v>99</v>
      </c>
      <c r="B23" s="14" t="s">
        <v>896</v>
      </c>
      <c r="C23" s="70" t="n">
        <f aca="false">'Effort - Mobile &amp; IPRS'!G33</f>
        <v>35</v>
      </c>
      <c r="D23" s="68" t="s">
        <v>1247</v>
      </c>
      <c r="E23" s="26" t="n">
        <f aca="false">IF(D23="Phase 1",C23,0)</f>
        <v>35</v>
      </c>
      <c r="F23" s="71"/>
    </row>
    <row r="24" customFormat="false" ht="15" hidden="false" customHeight="true" outlineLevel="0" collapsed="false">
      <c r="A24" s="17" t="s">
        <v>103</v>
      </c>
      <c r="B24" s="14" t="s">
        <v>897</v>
      </c>
      <c r="C24" s="70" t="n">
        <f aca="false">'Effort - Mobile &amp; IPRS'!G34</f>
        <v>33</v>
      </c>
      <c r="D24" s="68" t="s">
        <v>1247</v>
      </c>
      <c r="E24" s="26" t="n">
        <f aca="false">IF(D24="Phase 1",C24,0)</f>
        <v>33</v>
      </c>
      <c r="F24" s="71"/>
    </row>
    <row r="25" customFormat="false" ht="15" hidden="false" customHeight="true" outlineLevel="0" collapsed="false">
      <c r="A25" s="17" t="s">
        <v>107</v>
      </c>
      <c r="B25" s="14" t="s">
        <v>898</v>
      </c>
      <c r="C25" s="70" t="n">
        <f aca="false">'Effort - Mobile &amp; IPRS'!G35</f>
        <v>25</v>
      </c>
      <c r="D25" s="68" t="s">
        <v>1247</v>
      </c>
      <c r="E25" s="26" t="n">
        <f aca="false">IF(D25="Phase 1",C25,0)</f>
        <v>25</v>
      </c>
      <c r="F25" s="71"/>
    </row>
    <row r="26" customFormat="false" ht="15" hidden="false" customHeight="true" outlineLevel="0" collapsed="false">
      <c r="A26" s="17" t="s">
        <v>618</v>
      </c>
      <c r="B26" s="14" t="s">
        <v>899</v>
      </c>
      <c r="C26" s="70" t="n">
        <f aca="false">'Effort - Mobile &amp; IPRS'!G36</f>
        <v>25</v>
      </c>
      <c r="D26" s="68" t="s">
        <v>1247</v>
      </c>
      <c r="E26" s="26" t="n">
        <f aca="false">IF(D26="Phase 1",C26,0)</f>
        <v>25</v>
      </c>
      <c r="F26" s="71"/>
    </row>
    <row r="27" customFormat="false" ht="15" hidden="false" customHeight="true" outlineLevel="0" collapsed="false">
      <c r="A27" s="17" t="s">
        <v>621</v>
      </c>
      <c r="B27" s="14" t="s">
        <v>901</v>
      </c>
      <c r="C27" s="70" t="n">
        <f aca="false">'Effort - Mobile &amp; IPRS'!G37</f>
        <v>27</v>
      </c>
      <c r="D27" s="68" t="s">
        <v>1247</v>
      </c>
      <c r="E27" s="26" t="n">
        <f aca="false">IF(D27="Phase 1",C27,0)</f>
        <v>27</v>
      </c>
      <c r="F27" s="71"/>
    </row>
    <row r="28" customFormat="false" ht="15" hidden="false" customHeight="true" outlineLevel="0" collapsed="false">
      <c r="A28" s="17" t="s">
        <v>624</v>
      </c>
      <c r="B28" s="14" t="s">
        <v>903</v>
      </c>
      <c r="C28" s="70" t="n">
        <f aca="false">'Effort - Mobile &amp; IPRS'!G38</f>
        <v>41</v>
      </c>
      <c r="D28" s="68" t="s">
        <v>1247</v>
      </c>
      <c r="E28" s="26" t="n">
        <f aca="false">IF(D28="Phase 1",C28,0)</f>
        <v>41</v>
      </c>
      <c r="F28" s="71"/>
    </row>
    <row r="29" customFormat="false" ht="15" hidden="false" customHeight="true" outlineLevel="0" collapsed="false">
      <c r="A29" s="17" t="s">
        <v>905</v>
      </c>
      <c r="B29" s="14" t="s">
        <v>906</v>
      </c>
      <c r="C29" s="70" t="n">
        <f aca="false">'Effort - Mobile &amp; IPRS'!G39</f>
        <v>26</v>
      </c>
      <c r="D29" s="68" t="s">
        <v>1247</v>
      </c>
      <c r="E29" s="26" t="n">
        <f aca="false">IF(D29="Phase 1",C29,0)</f>
        <v>26</v>
      </c>
      <c r="F29" s="71"/>
    </row>
    <row r="30" customFormat="false" ht="15" hidden="false" customHeight="true" outlineLevel="0" collapsed="false">
      <c r="A30" s="17" t="s">
        <v>907</v>
      </c>
      <c r="B30" s="14" t="s">
        <v>908</v>
      </c>
      <c r="C30" s="70" t="n">
        <f aca="false">'Effort - Mobile &amp; IPRS'!G40</f>
        <v>16</v>
      </c>
      <c r="D30" s="68" t="s">
        <v>1247</v>
      </c>
      <c r="E30" s="26" t="n">
        <f aca="false">IF(D30="Phase 1",C30,0)</f>
        <v>16</v>
      </c>
      <c r="F30" s="71"/>
    </row>
    <row r="31" customFormat="false" ht="15" hidden="false" customHeight="true" outlineLevel="0" collapsed="false">
      <c r="A31" s="17" t="s">
        <v>909</v>
      </c>
      <c r="B31" s="14" t="s">
        <v>910</v>
      </c>
      <c r="C31" s="70" t="n">
        <f aca="false">'Effort - Mobile &amp; IPRS'!G41</f>
        <v>21</v>
      </c>
      <c r="D31" s="68" t="s">
        <v>1247</v>
      </c>
      <c r="E31" s="26" t="n">
        <f aca="false">IF(D31="Phase 1",C31,0)</f>
        <v>21</v>
      </c>
      <c r="F31" s="71"/>
    </row>
    <row r="32" customFormat="false" ht="15" hidden="false" customHeight="true" outlineLevel="0" collapsed="false">
      <c r="A32" s="17" t="s">
        <v>912</v>
      </c>
      <c r="B32" s="14" t="s">
        <v>913</v>
      </c>
      <c r="C32" s="70" t="n">
        <f aca="false">'Effort - Mobile &amp; IPRS'!G42</f>
        <v>21</v>
      </c>
      <c r="D32" s="68" t="s">
        <v>1247</v>
      </c>
      <c r="E32" s="26" t="n">
        <f aca="false">IF(D32="Phase 1",C32,0)</f>
        <v>21</v>
      </c>
      <c r="F32" s="71"/>
    </row>
    <row r="33" customFormat="false" ht="15" hidden="false" customHeight="true" outlineLevel="0" collapsed="false">
      <c r="A33" s="17" t="s">
        <v>915</v>
      </c>
      <c r="B33" s="14" t="s">
        <v>916</v>
      </c>
      <c r="C33" s="70" t="n">
        <f aca="false">'Effort - Mobile &amp; IPRS'!G43</f>
        <v>23</v>
      </c>
      <c r="D33" s="68" t="s">
        <v>1247</v>
      </c>
      <c r="E33" s="26" t="n">
        <f aca="false">IF(D33="Phase 1",C33,0)</f>
        <v>23</v>
      </c>
      <c r="F33" s="71"/>
    </row>
    <row r="34" customFormat="false" ht="15" hidden="false" customHeight="true" outlineLevel="0" collapsed="false">
      <c r="A34" s="17" t="s">
        <v>918</v>
      </c>
      <c r="B34" s="14" t="s">
        <v>919</v>
      </c>
      <c r="C34" s="70" t="n">
        <f aca="false">'Effort - Mobile &amp; IPRS'!G44</f>
        <v>36</v>
      </c>
      <c r="D34" s="68" t="s">
        <v>1247</v>
      </c>
      <c r="E34" s="26" t="n">
        <f aca="false">IF(D34="Phase 1",C34,0)</f>
        <v>36</v>
      </c>
      <c r="F34" s="71"/>
    </row>
    <row r="35" customFormat="false" ht="15" hidden="false" customHeight="true" outlineLevel="0" collapsed="false">
      <c r="A35" s="17" t="s">
        <v>920</v>
      </c>
      <c r="B35" s="14" t="s">
        <v>921</v>
      </c>
      <c r="C35" s="70" t="n">
        <f aca="false">'Effort - Mobile &amp; IPRS'!G45</f>
        <v>26</v>
      </c>
      <c r="D35" s="68" t="s">
        <v>1247</v>
      </c>
      <c r="E35" s="26" t="n">
        <f aca="false">IF(D35="Phase 1",C35,0)</f>
        <v>26</v>
      </c>
      <c r="F35" s="71"/>
    </row>
    <row r="36" customFormat="false" ht="15" hidden="false" customHeight="true" outlineLevel="0" collapsed="false">
      <c r="A36" s="17" t="s">
        <v>926</v>
      </c>
      <c r="B36" s="14" t="s">
        <v>927</v>
      </c>
      <c r="C36" s="70" t="n">
        <f aca="false">'Effort - Mobile &amp; IPRS'!G49</f>
        <v>72</v>
      </c>
      <c r="D36" s="68" t="s">
        <v>1247</v>
      </c>
      <c r="E36" s="26" t="n">
        <f aca="false">IF(D36="Phase 1",C36,0)</f>
        <v>72</v>
      </c>
      <c r="F36" s="71"/>
    </row>
    <row r="37" customFormat="false" ht="15" hidden="false" customHeight="true" outlineLevel="0" collapsed="false">
      <c r="A37" s="17" t="s">
        <v>928</v>
      </c>
      <c r="B37" s="14" t="s">
        <v>929</v>
      </c>
      <c r="C37" s="70" t="n">
        <f aca="false">'Effort - Mobile &amp; IPRS'!G50</f>
        <v>31</v>
      </c>
      <c r="D37" s="68" t="s">
        <v>1247</v>
      </c>
      <c r="E37" s="26" t="n">
        <f aca="false">IF(D37="Phase 1",C37,0)</f>
        <v>31</v>
      </c>
      <c r="F37" s="71"/>
    </row>
    <row r="38" customFormat="false" ht="15" hidden="false" customHeight="true" outlineLevel="0" collapsed="false">
      <c r="A38" s="17" t="s">
        <v>930</v>
      </c>
      <c r="B38" s="14" t="s">
        <v>931</v>
      </c>
      <c r="C38" s="70" t="n">
        <f aca="false">'Effort - Mobile &amp; IPRS'!G51</f>
        <v>13</v>
      </c>
      <c r="D38" s="68" t="s">
        <v>1247</v>
      </c>
      <c r="E38" s="26" t="n">
        <f aca="false">IF(D38="Phase 1",C38,0)</f>
        <v>13</v>
      </c>
      <c r="F38" s="71"/>
    </row>
    <row r="39" customFormat="false" ht="15" hidden="false" customHeight="true" outlineLevel="0" collapsed="false">
      <c r="A39" s="17" t="s">
        <v>932</v>
      </c>
      <c r="B39" s="14" t="s">
        <v>933</v>
      </c>
      <c r="C39" s="70" t="n">
        <f aca="false">'Effort - Mobile &amp; IPRS'!G52</f>
        <v>16</v>
      </c>
      <c r="D39" s="68" t="s">
        <v>1247</v>
      </c>
      <c r="E39" s="26" t="n">
        <f aca="false">IF(D39="Phase 1",C39,0)</f>
        <v>16</v>
      </c>
      <c r="F39" s="71"/>
    </row>
    <row r="40" customFormat="false" ht="15" hidden="false" customHeight="true" outlineLevel="0" collapsed="false">
      <c r="A40" s="17" t="s">
        <v>934</v>
      </c>
      <c r="B40" s="14" t="s">
        <v>935</v>
      </c>
      <c r="C40" s="70" t="n">
        <f aca="false">'Effort - Mobile &amp; IPRS'!G53</f>
        <v>21</v>
      </c>
      <c r="D40" s="68" t="s">
        <v>1247</v>
      </c>
      <c r="E40" s="26" t="n">
        <f aca="false">IF(D40="Phase 1",C40,0)</f>
        <v>21</v>
      </c>
      <c r="F40" s="71"/>
    </row>
    <row r="41" customFormat="false" ht="15" hidden="false" customHeight="true" outlineLevel="0" collapsed="false">
      <c r="A41" s="17" t="s">
        <v>937</v>
      </c>
      <c r="B41" s="14" t="s">
        <v>938</v>
      </c>
      <c r="C41" s="70" t="n">
        <f aca="false">'Effort - Mobile &amp; IPRS'!G54</f>
        <v>5</v>
      </c>
      <c r="D41" s="68" t="s">
        <v>1247</v>
      </c>
      <c r="E41" s="26" t="n">
        <f aca="false">IF(D41="Phase 1",C41,0)</f>
        <v>5</v>
      </c>
      <c r="F41" s="71"/>
    </row>
    <row r="42" customFormat="false" ht="15" hidden="false" customHeight="true" outlineLevel="0" collapsed="false">
      <c r="A42" s="17" t="s">
        <v>939</v>
      </c>
      <c r="B42" s="14" t="s">
        <v>940</v>
      </c>
      <c r="C42" s="70" t="n">
        <f aca="false">'Effort - Mobile &amp; IPRS'!G55</f>
        <v>13</v>
      </c>
      <c r="D42" s="68" t="s">
        <v>1247</v>
      </c>
      <c r="E42" s="26" t="n">
        <f aca="false">IF(D42="Phase 1",C42,0)</f>
        <v>13</v>
      </c>
      <c r="F42" s="71"/>
    </row>
    <row r="43" customFormat="false" ht="15" hidden="false" customHeight="true" outlineLevel="0" collapsed="false">
      <c r="A43" s="17" t="s">
        <v>942</v>
      </c>
      <c r="B43" s="14" t="s">
        <v>943</v>
      </c>
      <c r="C43" s="70" t="n">
        <f aca="false">'Effort - Mobile &amp; IPRS'!G56</f>
        <v>26</v>
      </c>
      <c r="D43" s="68" t="s">
        <v>1247</v>
      </c>
      <c r="E43" s="26" t="n">
        <f aca="false">IF(D43="Phase 1",C43,0)</f>
        <v>26</v>
      </c>
      <c r="F43" s="71"/>
    </row>
    <row r="44" customFormat="false" ht="15" hidden="false" customHeight="true" outlineLevel="0" collapsed="false">
      <c r="A44" s="17" t="s">
        <v>945</v>
      </c>
      <c r="B44" s="14" t="s">
        <v>946</v>
      </c>
      <c r="C44" s="70" t="n">
        <f aca="false">'Effort - Mobile &amp; IPRS'!G57</f>
        <v>25</v>
      </c>
      <c r="D44" s="68" t="s">
        <v>1247</v>
      </c>
      <c r="E44" s="26" t="n">
        <f aca="false">IF(D44="Phase 1",C44,0)</f>
        <v>25</v>
      </c>
      <c r="F44" s="71"/>
    </row>
    <row r="45" customFormat="false" ht="15" hidden="false" customHeight="true" outlineLevel="0" collapsed="false">
      <c r="A45" s="17" t="s">
        <v>948</v>
      </c>
      <c r="B45" s="14" t="s">
        <v>949</v>
      </c>
      <c r="C45" s="70" t="n">
        <f aca="false">'Effort - Mobile &amp; IPRS'!G58</f>
        <v>15</v>
      </c>
      <c r="D45" s="68" t="s">
        <v>1247</v>
      </c>
      <c r="E45" s="26" t="n">
        <f aca="false">IF(D45="Phase 1",C45,0)</f>
        <v>15</v>
      </c>
      <c r="F45" s="71"/>
    </row>
    <row r="46" customFormat="false" ht="15" hidden="false" customHeight="true" outlineLevel="0" collapsed="false">
      <c r="A46" s="17" t="s">
        <v>951</v>
      </c>
      <c r="B46" s="14" t="s">
        <v>952</v>
      </c>
      <c r="C46" s="70" t="n">
        <f aca="false">'Effort - Mobile &amp; IPRS'!G59</f>
        <v>46</v>
      </c>
      <c r="D46" s="68" t="s">
        <v>1247</v>
      </c>
      <c r="E46" s="26" t="n">
        <f aca="false">IF(D46="Phase 1",C46,0)</f>
        <v>46</v>
      </c>
      <c r="F46" s="71"/>
    </row>
    <row r="47" customFormat="false" ht="15" hidden="false" customHeight="true" outlineLevel="0" collapsed="false">
      <c r="A47" s="17" t="s">
        <v>954</v>
      </c>
      <c r="B47" s="14" t="s">
        <v>955</v>
      </c>
      <c r="C47" s="70" t="n">
        <f aca="false">'Effort - Mobile &amp; IPRS'!G60</f>
        <v>31</v>
      </c>
      <c r="D47" s="68" t="s">
        <v>1247</v>
      </c>
      <c r="E47" s="26" t="n">
        <f aca="false">IF(D47="Phase 1",C47,0)</f>
        <v>31</v>
      </c>
      <c r="F47" s="71"/>
    </row>
    <row r="48" customFormat="false" ht="15" hidden="false" customHeight="true" outlineLevel="0" collapsed="false">
      <c r="A48" s="17" t="s">
        <v>991</v>
      </c>
      <c r="B48" s="14" t="s">
        <v>992</v>
      </c>
      <c r="C48" s="70" t="n">
        <f aca="false">'Effort - Website'!G6</f>
        <v>29</v>
      </c>
      <c r="D48" s="68" t="s">
        <v>1247</v>
      </c>
      <c r="E48" s="26" t="n">
        <f aca="false">IF(D48="Phase 1",C48,0)</f>
        <v>29</v>
      </c>
      <c r="F48" s="71"/>
    </row>
    <row r="49" customFormat="false" ht="15" hidden="false" customHeight="true" outlineLevel="0" collapsed="false">
      <c r="A49" s="17" t="s">
        <v>994</v>
      </c>
      <c r="B49" s="14" t="s">
        <v>995</v>
      </c>
      <c r="C49" s="70" t="n">
        <f aca="false">'Effort - Website'!G7</f>
        <v>14</v>
      </c>
      <c r="D49" s="68" t="s">
        <v>1247</v>
      </c>
      <c r="E49" s="26" t="n">
        <f aca="false">IF(D49="Phase 1",C49,0)</f>
        <v>14</v>
      </c>
      <c r="F49" s="71"/>
    </row>
    <row r="50" customFormat="false" ht="15" hidden="false" customHeight="true" outlineLevel="0" collapsed="false">
      <c r="A50" s="17" t="s">
        <v>999</v>
      </c>
      <c r="B50" s="14" t="s">
        <v>1000</v>
      </c>
      <c r="C50" s="70" t="n">
        <f aca="false">'Effort - Website'!G11</f>
        <v>31</v>
      </c>
      <c r="D50" s="68" t="s">
        <v>1247</v>
      </c>
      <c r="E50" s="26" t="n">
        <f aca="false">IF(D50="Phase 1",C50,0)</f>
        <v>31</v>
      </c>
      <c r="F50" s="71"/>
    </row>
    <row r="51" customFormat="false" ht="15" hidden="false" customHeight="true" outlineLevel="0" collapsed="false">
      <c r="A51" s="17" t="s">
        <v>1002</v>
      </c>
      <c r="B51" s="14" t="s">
        <v>1003</v>
      </c>
      <c r="C51" s="70" t="n">
        <f aca="false">'Effort - Website'!G12</f>
        <v>43</v>
      </c>
      <c r="D51" s="68" t="s">
        <v>1247</v>
      </c>
      <c r="E51" s="26" t="n">
        <f aca="false">IF(D51="Phase 1",C51,0)</f>
        <v>43</v>
      </c>
      <c r="F51" s="71"/>
    </row>
    <row r="52" customFormat="false" ht="15" hidden="false" customHeight="true" outlineLevel="0" collapsed="false">
      <c r="A52" s="17" t="s">
        <v>1005</v>
      </c>
      <c r="B52" s="14" t="s">
        <v>1006</v>
      </c>
      <c r="C52" s="70" t="n">
        <f aca="false">'Effort - Website'!G13</f>
        <v>17</v>
      </c>
      <c r="D52" s="68" t="s">
        <v>1247</v>
      </c>
      <c r="E52" s="26" t="n">
        <f aca="false">IF(D52="Phase 1",C52,0)</f>
        <v>17</v>
      </c>
      <c r="F52" s="71"/>
    </row>
    <row r="53" customFormat="false" ht="15" hidden="false" customHeight="true" outlineLevel="0" collapsed="false">
      <c r="A53" s="17" t="s">
        <v>1011</v>
      </c>
      <c r="B53" s="14" t="s">
        <v>1012</v>
      </c>
      <c r="C53" s="70" t="n">
        <f aca="false">'Effort - Website'!G17</f>
        <v>25</v>
      </c>
      <c r="D53" s="68" t="s">
        <v>1247</v>
      </c>
      <c r="E53" s="26" t="n">
        <f aca="false">IF(D53="Phase 1",C53,0)</f>
        <v>25</v>
      </c>
      <c r="F53" s="71"/>
    </row>
    <row r="54" customFormat="false" ht="15" hidden="false" customHeight="true" outlineLevel="0" collapsed="false">
      <c r="A54" s="17" t="s">
        <v>1015</v>
      </c>
      <c r="B54" s="14" t="s">
        <v>1016</v>
      </c>
      <c r="C54" s="70" t="n">
        <f aca="false">'Effort - Website'!G18</f>
        <v>21</v>
      </c>
      <c r="D54" s="68" t="s">
        <v>1247</v>
      </c>
      <c r="E54" s="26" t="n">
        <f aca="false">IF(D54="Phase 1",C54,0)</f>
        <v>21</v>
      </c>
      <c r="F54" s="71"/>
    </row>
    <row r="55" customFormat="false" ht="15" hidden="false" customHeight="true" outlineLevel="0" collapsed="false">
      <c r="A55" s="17" t="s">
        <v>1018</v>
      </c>
      <c r="B55" s="14" t="s">
        <v>1019</v>
      </c>
      <c r="C55" s="70" t="n">
        <f aca="false">'Effort - Website'!G19</f>
        <v>13</v>
      </c>
      <c r="D55" s="68" t="s">
        <v>1247</v>
      </c>
      <c r="E55" s="26" t="n">
        <f aca="false">IF(D55="Phase 1",C55,0)</f>
        <v>13</v>
      </c>
      <c r="F55" s="71"/>
    </row>
    <row r="56" customFormat="false" ht="15" hidden="false" customHeight="true" outlineLevel="0" collapsed="false">
      <c r="A56" s="17" t="s">
        <v>1020</v>
      </c>
      <c r="B56" s="14" t="s">
        <v>1021</v>
      </c>
      <c r="C56" s="70" t="n">
        <f aca="false">'Effort - Website'!G20</f>
        <v>11</v>
      </c>
      <c r="D56" s="68" t="s">
        <v>1247</v>
      </c>
      <c r="E56" s="26" t="n">
        <f aca="false">IF(D56="Phase 1",C56,0)</f>
        <v>11</v>
      </c>
      <c r="F56" s="71"/>
    </row>
    <row r="57" customFormat="false" ht="15" hidden="false" customHeight="true" outlineLevel="0" collapsed="false">
      <c r="A57" s="17" t="s">
        <v>1022</v>
      </c>
      <c r="B57" s="14" t="s">
        <v>1023</v>
      </c>
      <c r="C57" s="70" t="n">
        <f aca="false">'Effort - Website'!G21</f>
        <v>13</v>
      </c>
      <c r="D57" s="68" t="s">
        <v>1247</v>
      </c>
      <c r="E57" s="26" t="n">
        <f aca="false">IF(D57="Phase 1",C57,0)</f>
        <v>13</v>
      </c>
      <c r="F57" s="71"/>
    </row>
    <row r="58" customFormat="false" ht="15" hidden="false" customHeight="true" outlineLevel="0" collapsed="false">
      <c r="A58" s="17" t="s">
        <v>1024</v>
      </c>
      <c r="B58" s="14" t="s">
        <v>1025</v>
      </c>
      <c r="C58" s="70" t="n">
        <f aca="false">'Effort - Website'!G22</f>
        <v>19</v>
      </c>
      <c r="D58" s="68" t="s">
        <v>1247</v>
      </c>
      <c r="E58" s="26" t="n">
        <f aca="false">IF(D58="Phase 1",C58,0)</f>
        <v>19</v>
      </c>
      <c r="F58" s="71"/>
    </row>
    <row r="59" customFormat="false" ht="15" hidden="false" customHeight="true" outlineLevel="0" collapsed="false">
      <c r="A59" s="17" t="s">
        <v>1026</v>
      </c>
      <c r="B59" s="14" t="s">
        <v>1027</v>
      </c>
      <c r="C59" s="70" t="n">
        <f aca="false">'Effort - Website'!G23</f>
        <v>21</v>
      </c>
      <c r="D59" s="68" t="s">
        <v>1247</v>
      </c>
      <c r="E59" s="26" t="n">
        <f aca="false">IF(D59="Phase 1",C59,0)</f>
        <v>21</v>
      </c>
      <c r="F59" s="71"/>
    </row>
    <row r="60" customFormat="false" ht="15" hidden="false" customHeight="true" outlineLevel="0" collapsed="false">
      <c r="A60" s="17" t="s">
        <v>1033</v>
      </c>
      <c r="B60" s="14" t="s">
        <v>1034</v>
      </c>
      <c r="C60" s="70" t="n">
        <f aca="false">'Effort - Website'!G27</f>
        <v>29</v>
      </c>
      <c r="D60" s="68" t="s">
        <v>1247</v>
      </c>
      <c r="E60" s="26" t="n">
        <f aca="false">IF(D60="Phase 1",C60,0)</f>
        <v>29</v>
      </c>
      <c r="F60" s="71"/>
    </row>
    <row r="61" customFormat="false" ht="15" hidden="false" customHeight="true" outlineLevel="0" collapsed="false">
      <c r="A61" s="17" t="s">
        <v>1036</v>
      </c>
      <c r="B61" s="14" t="s">
        <v>1037</v>
      </c>
      <c r="C61" s="70" t="n">
        <f aca="false">'Effort - Website'!G28</f>
        <v>17</v>
      </c>
      <c r="D61" s="68" t="s">
        <v>1247</v>
      </c>
      <c r="E61" s="26" t="n">
        <f aca="false">IF(D61="Phase 1",C61,0)</f>
        <v>17</v>
      </c>
      <c r="F61" s="71"/>
    </row>
    <row r="62" customFormat="false" ht="23.25" hidden="false" customHeight="true" outlineLevel="0" collapsed="false">
      <c r="A62" s="17" t="s">
        <v>1038</v>
      </c>
      <c r="B62" s="14" t="s">
        <v>1039</v>
      </c>
      <c r="C62" s="70" t="n">
        <f aca="false">'Effort - Website'!G29</f>
        <v>25</v>
      </c>
      <c r="D62" s="68" t="s">
        <v>1247</v>
      </c>
      <c r="E62" s="26" t="n">
        <f aca="false">IF(D62="Phase 1",C62,0)</f>
        <v>25</v>
      </c>
      <c r="F62" s="71"/>
    </row>
    <row r="63" customFormat="false" ht="15" hidden="false" customHeight="true" outlineLevel="0" collapsed="false">
      <c r="A63" s="17" t="s">
        <v>1041</v>
      </c>
      <c r="B63" s="14" t="s">
        <v>1042</v>
      </c>
      <c r="C63" s="70" t="n">
        <f aca="false">'Effort - Website'!G30</f>
        <v>31</v>
      </c>
      <c r="D63" s="68" t="s">
        <v>1247</v>
      </c>
      <c r="E63" s="26" t="n">
        <f aca="false">IF(D63="Phase 1",C63,0)</f>
        <v>31</v>
      </c>
      <c r="F63" s="71"/>
    </row>
    <row r="64" customFormat="false" ht="15" hidden="false" customHeight="true" outlineLevel="0" collapsed="false">
      <c r="A64" s="17" t="s">
        <v>1043</v>
      </c>
      <c r="B64" s="14" t="s">
        <v>1044</v>
      </c>
      <c r="C64" s="70" t="n">
        <f aca="false">'Effort - Website'!G31</f>
        <v>19</v>
      </c>
      <c r="D64" s="68" t="s">
        <v>1247</v>
      </c>
      <c r="E64" s="26" t="n">
        <f aca="false">IF(D64="Phase 1",C64,0)</f>
        <v>19</v>
      </c>
      <c r="F64" s="71"/>
    </row>
    <row r="65" customFormat="false" ht="15" hidden="false" customHeight="true" outlineLevel="0" collapsed="false">
      <c r="A65" s="17" t="s">
        <v>1045</v>
      </c>
      <c r="B65" s="14" t="s">
        <v>1046</v>
      </c>
      <c r="C65" s="70" t="n">
        <f aca="false">'Effort - Website'!G32</f>
        <v>17</v>
      </c>
      <c r="D65" s="72" t="s">
        <v>1248</v>
      </c>
      <c r="E65" s="26" t="n">
        <f aca="false">IF(D65="Phase 1",C65,0)</f>
        <v>0</v>
      </c>
      <c r="F65" s="19" t="s">
        <v>1251</v>
      </c>
    </row>
    <row r="66" customFormat="false" ht="15" hidden="false" customHeight="true" outlineLevel="0" collapsed="false">
      <c r="A66" s="17" t="s">
        <v>1047</v>
      </c>
      <c r="B66" s="14" t="s">
        <v>1048</v>
      </c>
      <c r="C66" s="70" t="n">
        <f aca="false">'Effort - Website'!G33</f>
        <v>46</v>
      </c>
      <c r="D66" s="72" t="s">
        <v>1248</v>
      </c>
      <c r="E66" s="26" t="n">
        <f aca="false">IF(D66="Phase 1",C66,0)</f>
        <v>0</v>
      </c>
      <c r="F66" s="19" t="s">
        <v>1251</v>
      </c>
    </row>
    <row r="67" customFormat="false" ht="15" hidden="false" customHeight="true" outlineLevel="0" collapsed="false">
      <c r="A67" s="17" t="s">
        <v>1050</v>
      </c>
      <c r="B67" s="14" t="s">
        <v>1051</v>
      </c>
      <c r="C67" s="70" t="n">
        <f aca="false">'Effort - Website'!G34</f>
        <v>25</v>
      </c>
      <c r="D67" s="68" t="s">
        <v>1247</v>
      </c>
      <c r="E67" s="26" t="n">
        <f aca="false">IF(D67="Phase 1",C67,0)</f>
        <v>25</v>
      </c>
      <c r="F67" s="71"/>
    </row>
    <row r="68" customFormat="false" ht="15" hidden="false" customHeight="true" outlineLevel="0" collapsed="false">
      <c r="A68" s="17" t="s">
        <v>1055</v>
      </c>
      <c r="B68" s="14" t="s">
        <v>1056</v>
      </c>
      <c r="C68" s="70" t="n">
        <f aca="false">'Effort - Website'!G38</f>
        <v>51</v>
      </c>
      <c r="D68" s="68" t="s">
        <v>1247</v>
      </c>
      <c r="E68" s="26" t="n">
        <f aca="false">IF(D68="Phase 1",C68,0)</f>
        <v>51</v>
      </c>
      <c r="F68" s="71"/>
    </row>
    <row r="69" customFormat="false" ht="15" hidden="false" customHeight="true" outlineLevel="0" collapsed="false">
      <c r="A69" s="17" t="s">
        <v>1058</v>
      </c>
      <c r="B69" s="14" t="s">
        <v>1059</v>
      </c>
      <c r="C69" s="70" t="n">
        <f aca="false">'Effort - Website'!G39</f>
        <v>19</v>
      </c>
      <c r="D69" s="72" t="s">
        <v>1248</v>
      </c>
      <c r="E69" s="26" t="n">
        <f aca="false">IF(D69="Phase 1",C69,0)</f>
        <v>0</v>
      </c>
      <c r="F69" s="19" t="s">
        <v>1252</v>
      </c>
    </row>
    <row r="70" customFormat="false" ht="15" hidden="false" customHeight="true" outlineLevel="0" collapsed="false">
      <c r="A70" s="17" t="s">
        <v>1061</v>
      </c>
      <c r="B70" s="14" t="s">
        <v>1062</v>
      </c>
      <c r="C70" s="70" t="n">
        <f aca="false">'Effort - Website'!G40</f>
        <v>16</v>
      </c>
      <c r="D70" s="68" t="s">
        <v>1247</v>
      </c>
      <c r="E70" s="26" t="n">
        <f aca="false">IF(D70="Phase 1",C70,0)</f>
        <v>16</v>
      </c>
      <c r="F70" s="71"/>
    </row>
    <row r="71" customFormat="false" ht="15" hidden="false" customHeight="true" outlineLevel="0" collapsed="false">
      <c r="A71" s="17" t="s">
        <v>1064</v>
      </c>
      <c r="B71" s="14" t="s">
        <v>1065</v>
      </c>
      <c r="C71" s="70" t="n">
        <f aca="false">'Effort - Website'!G41</f>
        <v>39</v>
      </c>
      <c r="D71" s="68" t="s">
        <v>1247</v>
      </c>
      <c r="E71" s="26" t="n">
        <f aca="false">IF(D71="Phase 1",C71,0)</f>
        <v>39</v>
      </c>
      <c r="F71" s="71"/>
    </row>
    <row r="72" customFormat="false" ht="15" hidden="false" customHeight="true" outlineLevel="0" collapsed="false">
      <c r="A72" s="17" t="s">
        <v>715</v>
      </c>
      <c r="B72" s="14" t="s">
        <v>1069</v>
      </c>
      <c r="C72" s="70" t="n">
        <f aca="false">'Effort - Website'!G45</f>
        <v>33</v>
      </c>
      <c r="D72" s="68" t="s">
        <v>1247</v>
      </c>
      <c r="E72" s="26" t="n">
        <f aca="false">IF(D72="Phase 1",C72,0)</f>
        <v>33</v>
      </c>
      <c r="F72" s="71"/>
    </row>
    <row r="73" customFormat="false" ht="15" hidden="false" customHeight="true" outlineLevel="0" collapsed="false">
      <c r="A73" s="17" t="s">
        <v>720</v>
      </c>
      <c r="B73" s="14" t="s">
        <v>1071</v>
      </c>
      <c r="C73" s="70" t="n">
        <f aca="false">'Effort - Website'!G46</f>
        <v>29</v>
      </c>
      <c r="D73" s="72" t="s">
        <v>1248</v>
      </c>
      <c r="E73" s="26" t="n">
        <f aca="false">IF(D73="Phase 1",C73,0)</f>
        <v>0</v>
      </c>
      <c r="F73" s="19" t="s">
        <v>1253</v>
      </c>
    </row>
    <row r="74" customFormat="false" ht="15" hidden="false" customHeight="true" outlineLevel="0" collapsed="false">
      <c r="A74" s="17" t="s">
        <v>725</v>
      </c>
      <c r="B74" s="14" t="s">
        <v>1072</v>
      </c>
      <c r="C74" s="70" t="n">
        <f aca="false">'Effort - Website'!G47</f>
        <v>21</v>
      </c>
      <c r="D74" s="72" t="s">
        <v>1248</v>
      </c>
      <c r="E74" s="26" t="n">
        <f aca="false">IF(D74="Phase 1",C74,0)</f>
        <v>0</v>
      </c>
      <c r="F74" s="19" t="s">
        <v>1253</v>
      </c>
    </row>
    <row r="75" customFormat="false" ht="15" hidden="false" customHeight="true" outlineLevel="0" collapsed="false">
      <c r="A75" s="17" t="s">
        <v>728</v>
      </c>
      <c r="B75" s="14" t="s">
        <v>1073</v>
      </c>
      <c r="C75" s="70" t="n">
        <f aca="false">'Effort - Website'!G48</f>
        <v>47</v>
      </c>
      <c r="D75" s="72" t="s">
        <v>1248</v>
      </c>
      <c r="E75" s="26" t="n">
        <f aca="false">IF(D75="Phase 1",C75,0)</f>
        <v>0</v>
      </c>
      <c r="F75" s="19" t="s">
        <v>1253</v>
      </c>
    </row>
    <row r="76" customFormat="false" ht="15" hidden="false" customHeight="true" outlineLevel="0" collapsed="false">
      <c r="A76" s="17" t="s">
        <v>803</v>
      </c>
      <c r="B76" s="14" t="s">
        <v>1075</v>
      </c>
      <c r="C76" s="70" t="n">
        <f aca="false">'Effort - Website'!G49</f>
        <v>25</v>
      </c>
      <c r="D76" s="72" t="s">
        <v>1248</v>
      </c>
      <c r="E76" s="26" t="n">
        <f aca="false">IF(D76="Phase 1",C76,0)</f>
        <v>0</v>
      </c>
      <c r="F76" s="19" t="s">
        <v>1253</v>
      </c>
    </row>
    <row r="77" customFormat="false" ht="15" hidden="false" customHeight="true" outlineLevel="0" collapsed="false">
      <c r="A77" s="17" t="s">
        <v>804</v>
      </c>
      <c r="B77" s="14" t="s">
        <v>1076</v>
      </c>
      <c r="C77" s="70" t="n">
        <f aca="false">'Effort - Website'!G50</f>
        <v>19</v>
      </c>
      <c r="D77" s="72" t="s">
        <v>1248</v>
      </c>
      <c r="E77" s="26" t="n">
        <f aca="false">IF(D77="Phase 1",C77,0)</f>
        <v>0</v>
      </c>
      <c r="F77" s="19" t="s">
        <v>1253</v>
      </c>
    </row>
    <row r="78" customFormat="false" ht="15" hidden="false" customHeight="true" outlineLevel="0" collapsed="false">
      <c r="A78" s="17" t="s">
        <v>1077</v>
      </c>
      <c r="B78" s="14" t="s">
        <v>1078</v>
      </c>
      <c r="C78" s="70" t="n">
        <f aca="false">'Effort - Website'!G51</f>
        <v>19</v>
      </c>
      <c r="D78" s="72" t="s">
        <v>1248</v>
      </c>
      <c r="E78" s="26" t="n">
        <f aca="false">IF(D78="Phase 1",C78,0)</f>
        <v>0</v>
      </c>
      <c r="F78" s="19" t="s">
        <v>1253</v>
      </c>
    </row>
    <row r="79" customFormat="false" ht="15" hidden="false" customHeight="true" outlineLevel="0" collapsed="false">
      <c r="A79" s="17" t="s">
        <v>1083</v>
      </c>
      <c r="B79" s="14" t="s">
        <v>1084</v>
      </c>
      <c r="C79" s="70" t="n">
        <f aca="false">'Effort - Website'!G55</f>
        <v>31</v>
      </c>
      <c r="D79" s="68" t="s">
        <v>1247</v>
      </c>
      <c r="E79" s="26" t="n">
        <f aca="false">IF(D79="Phase 1",C79,0)</f>
        <v>31</v>
      </c>
      <c r="F79" s="71"/>
    </row>
    <row r="80" customFormat="false" ht="15" hidden="false" customHeight="true" outlineLevel="0" collapsed="false">
      <c r="A80" s="17" t="s">
        <v>1086</v>
      </c>
      <c r="B80" s="14" t="s">
        <v>1087</v>
      </c>
      <c r="C80" s="70" t="n">
        <f aca="false">'Effort - Website'!G56</f>
        <v>26</v>
      </c>
      <c r="D80" s="68" t="s">
        <v>1247</v>
      </c>
      <c r="E80" s="26" t="n">
        <f aca="false">IF(D80="Phase 1",C80,0)</f>
        <v>26</v>
      </c>
      <c r="F80" s="71"/>
    </row>
    <row r="81" customFormat="false" ht="15" hidden="false" customHeight="true" outlineLevel="0" collapsed="false">
      <c r="A81" s="17" t="s">
        <v>1090</v>
      </c>
      <c r="B81" s="14" t="s">
        <v>1091</v>
      </c>
      <c r="C81" s="70" t="n">
        <f aca="false">'Effort - Website'!G57</f>
        <v>36</v>
      </c>
      <c r="D81" s="68" t="s">
        <v>1247</v>
      </c>
      <c r="E81" s="26" t="n">
        <f aca="false">IF(D81="Phase 1",C81,0)</f>
        <v>36</v>
      </c>
      <c r="F81" s="71"/>
    </row>
    <row r="82" customFormat="false" ht="15" hidden="false" customHeight="true" outlineLevel="0" collapsed="false">
      <c r="A82" s="17" t="s">
        <v>1093</v>
      </c>
      <c r="B82" s="14" t="s">
        <v>1094</v>
      </c>
      <c r="C82" s="70" t="n">
        <f aca="false">'Effort - Website'!G58</f>
        <v>21</v>
      </c>
      <c r="D82" s="68" t="s">
        <v>1247</v>
      </c>
      <c r="E82" s="26" t="n">
        <f aca="false">IF(D82="Phase 1",C82,0)</f>
        <v>21</v>
      </c>
      <c r="F82" s="71"/>
    </row>
    <row r="83" customFormat="false" ht="15" hidden="false" customHeight="true" outlineLevel="0" collapsed="false">
      <c r="A83" s="17" t="s">
        <v>1096</v>
      </c>
      <c r="B83" s="14" t="s">
        <v>1097</v>
      </c>
      <c r="C83" s="70" t="n">
        <f aca="false">'Effort - Website'!G59</f>
        <v>31</v>
      </c>
      <c r="D83" s="68" t="s">
        <v>1247</v>
      </c>
      <c r="E83" s="26" t="n">
        <f aca="false">IF(D83="Phase 1",C83,0)</f>
        <v>31</v>
      </c>
      <c r="F83" s="71"/>
    </row>
    <row r="84" customFormat="false" ht="15" hidden="false" customHeight="true" outlineLevel="0" collapsed="false">
      <c r="A84" s="17" t="s">
        <v>1099</v>
      </c>
      <c r="B84" s="14" t="s">
        <v>1100</v>
      </c>
      <c r="C84" s="70" t="n">
        <f aca="false">'Effort - Website'!G60</f>
        <v>26</v>
      </c>
      <c r="D84" s="68" t="s">
        <v>1247</v>
      </c>
      <c r="E84" s="26" t="n">
        <f aca="false">IF(D84="Phase 1",C84,0)</f>
        <v>26</v>
      </c>
      <c r="F84" s="71"/>
    </row>
    <row r="85" customFormat="false" ht="15" hidden="false" customHeight="true" outlineLevel="0" collapsed="false">
      <c r="A85" s="17" t="s">
        <v>1102</v>
      </c>
      <c r="B85" s="14" t="s">
        <v>1103</v>
      </c>
      <c r="C85" s="70" t="n">
        <f aca="false">'Effort - Website'!G61</f>
        <v>19</v>
      </c>
      <c r="D85" s="68" t="s">
        <v>1247</v>
      </c>
      <c r="E85" s="26" t="n">
        <f aca="false">IF(D85="Phase 1",C85,0)</f>
        <v>19</v>
      </c>
      <c r="F85" s="71"/>
    </row>
    <row r="86" customFormat="false" ht="15" hidden="false" customHeight="true" outlineLevel="0" collapsed="false">
      <c r="A86" s="17" t="s">
        <v>1105</v>
      </c>
      <c r="B86" s="14" t="s">
        <v>1106</v>
      </c>
      <c r="C86" s="70" t="n">
        <f aca="false">'Effort - Website'!G62</f>
        <v>23</v>
      </c>
      <c r="D86" s="68" t="s">
        <v>1247</v>
      </c>
      <c r="E86" s="26" t="n">
        <f aca="false">IF(D86="Phase 1",C86,0)</f>
        <v>23</v>
      </c>
      <c r="F86" s="71"/>
    </row>
    <row r="87" customFormat="false" ht="15" hidden="false" customHeight="true" outlineLevel="0" collapsed="false">
      <c r="A87" s="17" t="s">
        <v>1108</v>
      </c>
      <c r="B87" s="14" t="s">
        <v>1109</v>
      </c>
      <c r="C87" s="70" t="n">
        <f aca="false">'Effort - Website'!G63</f>
        <v>36</v>
      </c>
      <c r="D87" s="68" t="s">
        <v>1247</v>
      </c>
      <c r="E87" s="26" t="n">
        <f aca="false">IF(D87="Phase 1",C87,0)</f>
        <v>36</v>
      </c>
      <c r="F87" s="71"/>
    </row>
    <row r="88" customFormat="false" ht="15" hidden="false" customHeight="true" outlineLevel="0" collapsed="false">
      <c r="A88" s="17" t="s">
        <v>1114</v>
      </c>
      <c r="B88" s="14" t="s">
        <v>1115</v>
      </c>
      <c r="C88" s="70" t="n">
        <f aca="false">'Effort - Website'!G67</f>
        <v>21</v>
      </c>
      <c r="D88" s="68" t="s">
        <v>1247</v>
      </c>
      <c r="E88" s="26" t="n">
        <f aca="false">IF(D88="Phase 1",C88,0)</f>
        <v>21</v>
      </c>
      <c r="F88" s="71"/>
    </row>
    <row r="89" customFormat="false" ht="15" hidden="false" customHeight="true" outlineLevel="0" collapsed="false">
      <c r="A89" s="17" t="s">
        <v>1117</v>
      </c>
      <c r="B89" s="14" t="s">
        <v>1118</v>
      </c>
      <c r="C89" s="70" t="n">
        <f aca="false">'Effort - Website'!G68</f>
        <v>17</v>
      </c>
      <c r="D89" s="68" t="s">
        <v>1247</v>
      </c>
      <c r="E89" s="26" t="n">
        <f aca="false">IF(D89="Phase 1",C89,0)</f>
        <v>17</v>
      </c>
      <c r="F89" s="71"/>
    </row>
    <row r="90" customFormat="false" ht="15" hidden="false" customHeight="true" outlineLevel="0" collapsed="false">
      <c r="A90" s="17" t="s">
        <v>1120</v>
      </c>
      <c r="B90" s="14" t="s">
        <v>1121</v>
      </c>
      <c r="C90" s="70" t="n">
        <f aca="false">'Effort - Website'!G69</f>
        <v>36</v>
      </c>
      <c r="D90" s="68" t="s">
        <v>1247</v>
      </c>
      <c r="E90" s="26" t="n">
        <f aca="false">IF(D90="Phase 1",C90,0)</f>
        <v>36</v>
      </c>
      <c r="F90" s="71"/>
    </row>
    <row r="91" customFormat="false" ht="23.25" hidden="false" customHeight="true" outlineLevel="0" collapsed="false">
      <c r="A91" s="17" t="s">
        <v>1123</v>
      </c>
      <c r="B91" s="14" t="s">
        <v>1124</v>
      </c>
      <c r="C91" s="70" t="n">
        <f aca="false">'Effort - Website'!G70</f>
        <v>29</v>
      </c>
      <c r="D91" s="68" t="s">
        <v>1247</v>
      </c>
      <c r="E91" s="26" t="n">
        <f aca="false">IF(D91="Phase 1",C91,0)</f>
        <v>29</v>
      </c>
      <c r="F91" s="71"/>
    </row>
    <row r="92" customFormat="false" ht="15" hidden="false" customHeight="true" outlineLevel="0" collapsed="false">
      <c r="A92" s="17" t="s">
        <v>1127</v>
      </c>
      <c r="B92" s="14" t="s">
        <v>1128</v>
      </c>
      <c r="C92" s="70" t="n">
        <f aca="false">'Effort - Website'!G71</f>
        <v>31</v>
      </c>
      <c r="D92" s="68" t="s">
        <v>1247</v>
      </c>
      <c r="E92" s="26" t="n">
        <f aca="false">IF(D92="Phase 1",C92,0)</f>
        <v>31</v>
      </c>
      <c r="F92" s="71"/>
    </row>
    <row r="93" customFormat="false" ht="15" hidden="false" customHeight="true" outlineLevel="0" collapsed="false">
      <c r="A93" s="17" t="s">
        <v>1130</v>
      </c>
      <c r="B93" s="14" t="s">
        <v>1131</v>
      </c>
      <c r="C93" s="70" t="n">
        <f aca="false">'Effort - Website'!G72</f>
        <v>36</v>
      </c>
      <c r="D93" s="68" t="s">
        <v>1247</v>
      </c>
      <c r="E93" s="26" t="n">
        <f aca="false">IF(D93="Phase 1",C93,0)</f>
        <v>36</v>
      </c>
      <c r="F93" s="71"/>
    </row>
    <row r="94" customFormat="false" ht="15" hidden="false" customHeight="true" outlineLevel="0" collapsed="false">
      <c r="A94" s="17" t="s">
        <v>577</v>
      </c>
      <c r="B94" s="14" t="s">
        <v>1136</v>
      </c>
      <c r="C94" s="70" t="n">
        <f aca="false">'Effort - Website'!G76</f>
        <v>25</v>
      </c>
      <c r="D94" s="68" t="s">
        <v>1247</v>
      </c>
      <c r="E94" s="26" t="n">
        <f aca="false">IF(D94="Phase 1",C94,0)</f>
        <v>25</v>
      </c>
      <c r="F94" s="71"/>
    </row>
    <row r="95" customFormat="false" ht="15" hidden="false" customHeight="true" outlineLevel="0" collapsed="false">
      <c r="A95" s="17" t="s">
        <v>580</v>
      </c>
      <c r="B95" s="14" t="s">
        <v>1138</v>
      </c>
      <c r="C95" s="70" t="n">
        <f aca="false">'Effort - Website'!G77</f>
        <v>36</v>
      </c>
      <c r="D95" s="68" t="s">
        <v>1247</v>
      </c>
      <c r="E95" s="26" t="n">
        <f aca="false">IF(D95="Phase 1",C95,0)</f>
        <v>36</v>
      </c>
      <c r="F95" s="71"/>
    </row>
    <row r="96" customFormat="false" ht="15" hidden="false" customHeight="true" outlineLevel="0" collapsed="false">
      <c r="A96" s="17" t="s">
        <v>583</v>
      </c>
      <c r="B96" s="14" t="s">
        <v>1140</v>
      </c>
      <c r="C96" s="70" t="n">
        <f aca="false">'Effort - Website'!G78</f>
        <v>16</v>
      </c>
      <c r="D96" s="68" t="s">
        <v>1247</v>
      </c>
      <c r="E96" s="26" t="n">
        <f aca="false">IF(D96="Phase 1",C96,0)</f>
        <v>16</v>
      </c>
      <c r="F96" s="71"/>
    </row>
    <row r="97" customFormat="false" ht="15" hidden="false" customHeight="true" outlineLevel="0" collapsed="false">
      <c r="A97" s="17" t="s">
        <v>586</v>
      </c>
      <c r="B97" s="14" t="s">
        <v>1142</v>
      </c>
      <c r="C97" s="70" t="n">
        <f aca="false">'Effort - Website'!G79</f>
        <v>13</v>
      </c>
      <c r="D97" s="68" t="s">
        <v>1247</v>
      </c>
      <c r="E97" s="26" t="n">
        <f aca="false">IF(D97="Phase 1",C97,0)</f>
        <v>13</v>
      </c>
      <c r="F97" s="71"/>
    </row>
    <row r="98" customFormat="false" ht="15" hidden="false" customHeight="true" outlineLevel="0" collapsed="false">
      <c r="A98" s="17" t="s">
        <v>629</v>
      </c>
      <c r="B98" s="14" t="s">
        <v>1147</v>
      </c>
      <c r="C98" s="70" t="n">
        <f aca="false">'Effort - Website'!G83</f>
        <v>31</v>
      </c>
      <c r="D98" s="68" t="s">
        <v>1247</v>
      </c>
      <c r="E98" s="26" t="n">
        <f aca="false">IF(D98="Phase 1",C98,0)</f>
        <v>31</v>
      </c>
      <c r="F98" s="71"/>
    </row>
    <row r="99" customFormat="false" ht="15" hidden="false" customHeight="true" outlineLevel="0" collapsed="false">
      <c r="A99" s="17" t="s">
        <v>632</v>
      </c>
      <c r="B99" s="14" t="s">
        <v>1149</v>
      </c>
      <c r="C99" s="70" t="n">
        <f aca="false">'Effort - Website'!G84</f>
        <v>27</v>
      </c>
      <c r="D99" s="68" t="s">
        <v>1247</v>
      </c>
      <c r="E99" s="26" t="n">
        <f aca="false">IF(D99="Phase 1",C99,0)</f>
        <v>27</v>
      </c>
      <c r="F99" s="71"/>
    </row>
    <row r="100" customFormat="false" ht="15" hidden="false" customHeight="true" outlineLevel="0" collapsed="false">
      <c r="A100" s="17" t="s">
        <v>635</v>
      </c>
      <c r="B100" s="14" t="s">
        <v>1152</v>
      </c>
      <c r="C100" s="70" t="n">
        <f aca="false">'Effort - Website'!G85</f>
        <v>19</v>
      </c>
      <c r="D100" s="68" t="s">
        <v>1247</v>
      </c>
      <c r="E100" s="26" t="n">
        <f aca="false">IF(D100="Phase 1",C100,0)</f>
        <v>19</v>
      </c>
      <c r="F100" s="71"/>
    </row>
    <row r="101" customFormat="false" ht="15" hidden="false" customHeight="true" outlineLevel="0" collapsed="false">
      <c r="A101" s="17" t="s">
        <v>638</v>
      </c>
      <c r="B101" s="14" t="s">
        <v>1154</v>
      </c>
      <c r="C101" s="70" t="n">
        <f aca="false">'Effort - Website'!G86</f>
        <v>31</v>
      </c>
      <c r="D101" s="68" t="s">
        <v>1247</v>
      </c>
      <c r="E101" s="26" t="n">
        <f aca="false">IF(D101="Phase 1",C101,0)</f>
        <v>31</v>
      </c>
      <c r="F101" s="71"/>
    </row>
    <row r="102" customFormat="false" ht="15" hidden="false" customHeight="true" outlineLevel="0" collapsed="false">
      <c r="A102" s="17" t="s">
        <v>641</v>
      </c>
      <c r="B102" s="14" t="s">
        <v>1156</v>
      </c>
      <c r="C102" s="70" t="n">
        <f aca="false">'Effort - Website'!G87</f>
        <v>29</v>
      </c>
      <c r="D102" s="68" t="s">
        <v>1247</v>
      </c>
      <c r="E102" s="26" t="n">
        <f aca="false">IF(D102="Phase 1",C102,0)</f>
        <v>29</v>
      </c>
      <c r="F102" s="71"/>
    </row>
    <row r="103" customFormat="false" ht="15" hidden="false" customHeight="true" outlineLevel="0" collapsed="false">
      <c r="A103" s="28"/>
      <c r="B103" s="29" t="s">
        <v>1254</v>
      </c>
      <c r="C103" s="30" t="n">
        <f aca="false">SUM(C5:C102)</f>
        <v>2613</v>
      </c>
      <c r="D103" s="28"/>
      <c r="E103" s="30" t="n">
        <f aca="false">SUM(E5:E102)</f>
        <v>1975</v>
      </c>
      <c r="F103" s="28"/>
    </row>
    <row r="105" customFormat="false" ht="15" hidden="false" customHeight="true" outlineLevel="0" collapsed="false">
      <c r="B105" s="13" t="s">
        <v>1255</v>
      </c>
      <c r="C105" s="73" t="n">
        <f aca="false">IFERROR(E103/C103,0)</f>
        <v>0.755836203597398</v>
      </c>
    </row>
    <row r="106" customFormat="false" ht="15" hidden="false" customHeight="true" outlineLevel="0" collapsed="false">
      <c r="B106" s="13" t="s">
        <v>1256</v>
      </c>
      <c r="C106" s="70" t="n">
        <v>477</v>
      </c>
    </row>
    <row r="107" customFormat="false" ht="15" hidden="false" customHeight="true" outlineLevel="0" collapsed="false">
      <c r="B107" s="13" t="s">
        <v>1257</v>
      </c>
      <c r="C107" s="70" t="n">
        <v>404</v>
      </c>
    </row>
    <row r="108" customFormat="false" ht="15" hidden="false" customHeight="true" outlineLevel="0" collapsed="false">
      <c r="B108" s="13" t="s">
        <v>1258</v>
      </c>
      <c r="C108" s="26" t="n">
        <f aca="false">ROUND((C106+C107)*C105,0)</f>
        <v>666</v>
      </c>
    </row>
    <row r="109" customFormat="false" ht="15" hidden="false" customHeight="true" outlineLevel="0" collapsed="false">
      <c r="A109" s="31"/>
      <c r="B109" s="32" t="s">
        <v>1259</v>
      </c>
      <c r="C109" s="33" t="n">
        <f aca="false">ROUND(E103+C108,0)</f>
        <v>2641</v>
      </c>
      <c r="D109" s="31"/>
      <c r="E109" s="31"/>
      <c r="F109" s="31"/>
    </row>
    <row r="111" customFormat="false" ht="15" hidden="false" customHeight="true" outlineLevel="0" collapsed="false">
      <c r="B111" s="19" t="s">
        <v>1260</v>
      </c>
      <c r="C111" s="19"/>
      <c r="D111" s="19"/>
      <c r="E111" s="19"/>
      <c r="F111" s="19"/>
    </row>
  </sheetData>
  <sheetProtection sheet="true"/>
  <mergeCells count="1">
    <mergeCell ref="B111:F1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8"/>
    <col collapsed="false" customWidth="true" hidden="false" outlineLevel="0" max="3" min="3" style="1" width="12"/>
    <col collapsed="false" customWidth="true" hidden="false" outlineLevel="0" max="4" min="4" style="1" width="10"/>
    <col collapsed="false" customWidth="true" hidden="false" outlineLevel="0" max="5" min="5" style="1" width="12"/>
    <col collapsed="false" customWidth="true" hidden="false" outlineLevel="0" max="6" min="6" style="1" width="60"/>
  </cols>
  <sheetData>
    <row r="1" customFormat="false" ht="17.25" hidden="false" customHeight="true" outlineLevel="0" collapsed="false">
      <c r="A1" s="2" t="s">
        <v>1261</v>
      </c>
    </row>
    <row r="2" customFormat="false" ht="15" hidden="false" customHeight="true" outlineLevel="0" collapsed="false">
      <c r="A2" s="3" t="s">
        <v>1262</v>
      </c>
    </row>
    <row r="4" customFormat="false" ht="30" hidden="false" customHeight="true" outlineLevel="0" collapsed="false">
      <c r="A4" s="16" t="s">
        <v>95</v>
      </c>
      <c r="B4" s="16" t="s">
        <v>562</v>
      </c>
      <c r="C4" s="16" t="s">
        <v>566</v>
      </c>
      <c r="D4" s="16" t="s">
        <v>1263</v>
      </c>
      <c r="E4" s="16" t="s">
        <v>1264</v>
      </c>
      <c r="F4" s="16" t="s">
        <v>1265</v>
      </c>
    </row>
    <row r="5" customFormat="false" ht="15" hidden="false" customHeight="true" outlineLevel="0" collapsed="false">
      <c r="A5" s="17" t="s">
        <v>570</v>
      </c>
      <c r="B5" s="14" t="s">
        <v>839</v>
      </c>
      <c r="C5" s="70" t="n">
        <f aca="false">'Effort - Mobile &amp; IPRS'!G6</f>
        <v>33</v>
      </c>
      <c r="D5" s="74" t="n">
        <v>1</v>
      </c>
      <c r="E5" s="26" t="n">
        <f aca="false">ROUND(C5*D5,0)</f>
        <v>33</v>
      </c>
      <c r="F5" s="19"/>
    </row>
    <row r="6" customFormat="false" ht="15" hidden="false" customHeight="true" outlineLevel="0" collapsed="false">
      <c r="A6" s="17" t="s">
        <v>573</v>
      </c>
      <c r="B6" s="14" t="s">
        <v>842</v>
      </c>
      <c r="C6" s="70" t="n">
        <f aca="false">'Effort - Mobile &amp; IPRS'!G7</f>
        <v>29</v>
      </c>
      <c r="D6" s="74" t="n">
        <v>1</v>
      </c>
      <c r="E6" s="26" t="n">
        <f aca="false">ROUND(C6*D6,0)</f>
        <v>29</v>
      </c>
      <c r="F6" s="19"/>
    </row>
    <row r="7" customFormat="false" ht="15" hidden="false" customHeight="true" outlineLevel="0" collapsed="false">
      <c r="A7" s="17" t="s">
        <v>753</v>
      </c>
      <c r="B7" s="14" t="s">
        <v>847</v>
      </c>
      <c r="C7" s="70" t="n">
        <f aca="false">'Effort - Mobile &amp; IPRS'!G11</f>
        <v>27</v>
      </c>
      <c r="D7" s="74" t="n">
        <v>1</v>
      </c>
      <c r="E7" s="26" t="n">
        <f aca="false">ROUND(C7*D7,0)</f>
        <v>27</v>
      </c>
      <c r="F7" s="19"/>
    </row>
    <row r="8" customFormat="false" ht="15" hidden="false" customHeight="true" outlineLevel="0" collapsed="false">
      <c r="A8" s="17" t="s">
        <v>756</v>
      </c>
      <c r="B8" s="14" t="s">
        <v>850</v>
      </c>
      <c r="C8" s="70" t="n">
        <f aca="false">'Effort - Mobile &amp; IPRS'!G12</f>
        <v>37</v>
      </c>
      <c r="D8" s="74" t="n">
        <v>1</v>
      </c>
      <c r="E8" s="26" t="n">
        <f aca="false">ROUND(C8*D8,0)</f>
        <v>37</v>
      </c>
      <c r="F8" s="19"/>
    </row>
    <row r="9" customFormat="false" ht="15" hidden="false" customHeight="true" outlineLevel="0" collapsed="false">
      <c r="A9" s="17" t="s">
        <v>759</v>
      </c>
      <c r="B9" s="14" t="s">
        <v>851</v>
      </c>
      <c r="C9" s="70" t="n">
        <f aca="false">'Effort - Mobile &amp; IPRS'!G13</f>
        <v>29</v>
      </c>
      <c r="D9" s="74" t="n">
        <v>1</v>
      </c>
      <c r="E9" s="26" t="n">
        <f aca="false">ROUND(C9*D9,0)</f>
        <v>29</v>
      </c>
      <c r="F9" s="19"/>
    </row>
    <row r="10" customFormat="false" ht="15" hidden="false" customHeight="true" outlineLevel="0" collapsed="false">
      <c r="A10" s="17" t="s">
        <v>603</v>
      </c>
      <c r="B10" s="14" t="s">
        <v>856</v>
      </c>
      <c r="C10" s="70" t="n">
        <f aca="false">'Effort - Mobile &amp; IPRS'!G17</f>
        <v>35</v>
      </c>
      <c r="D10" s="74" t="n">
        <v>1</v>
      </c>
      <c r="E10" s="26" t="n">
        <f aca="false">ROUND(C10*D10,0)</f>
        <v>35</v>
      </c>
      <c r="F10" s="19"/>
    </row>
    <row r="11" customFormat="false" ht="15" hidden="false" customHeight="true" outlineLevel="0" collapsed="false">
      <c r="A11" s="17" t="s">
        <v>606</v>
      </c>
      <c r="B11" s="14" t="s">
        <v>857</v>
      </c>
      <c r="C11" s="70" t="n">
        <f aca="false">'Effort - Mobile &amp; IPRS'!G18</f>
        <v>31</v>
      </c>
      <c r="D11" s="74" t="n">
        <v>1</v>
      </c>
      <c r="E11" s="26" t="n">
        <f aca="false">ROUND(C11*D11,0)</f>
        <v>31</v>
      </c>
      <c r="F11" s="19"/>
    </row>
    <row r="12" customFormat="false" ht="15" hidden="false" customHeight="true" outlineLevel="0" collapsed="false">
      <c r="A12" s="17" t="s">
        <v>609</v>
      </c>
      <c r="B12" s="14" t="s">
        <v>860</v>
      </c>
      <c r="C12" s="70" t="n">
        <f aca="false">'Effort - Mobile &amp; IPRS'!G19</f>
        <v>41</v>
      </c>
      <c r="D12" s="74" t="n">
        <v>1</v>
      </c>
      <c r="E12" s="26" t="n">
        <f aca="false">ROUND(C12*D12,0)</f>
        <v>41</v>
      </c>
      <c r="F12" s="19"/>
    </row>
    <row r="13" customFormat="false" ht="15" hidden="false" customHeight="true" outlineLevel="0" collapsed="false">
      <c r="A13" s="17" t="s">
        <v>808</v>
      </c>
      <c r="B13" s="14" t="s">
        <v>863</v>
      </c>
      <c r="C13" s="70" t="n">
        <f aca="false">'Effort - Mobile &amp; IPRS'!G20</f>
        <v>23</v>
      </c>
      <c r="D13" s="74" t="n">
        <v>1</v>
      </c>
      <c r="E13" s="26" t="n">
        <f aca="false">ROUND(C13*D13,0)</f>
        <v>23</v>
      </c>
      <c r="F13" s="19"/>
    </row>
    <row r="14" customFormat="false" ht="15" hidden="false" customHeight="true" outlineLevel="0" collapsed="false">
      <c r="A14" s="17" t="s">
        <v>866</v>
      </c>
      <c r="B14" s="14" t="s">
        <v>867</v>
      </c>
      <c r="C14" s="70" t="n">
        <f aca="false">'Effort - Mobile &amp; IPRS'!G21</f>
        <v>31</v>
      </c>
      <c r="D14" s="74" t="n">
        <v>1</v>
      </c>
      <c r="E14" s="26" t="n">
        <f aca="false">ROUND(C14*D14,0)</f>
        <v>31</v>
      </c>
      <c r="F14" s="19"/>
    </row>
    <row r="15" customFormat="false" ht="15" hidden="false" customHeight="true" outlineLevel="0" collapsed="false">
      <c r="A15" s="17" t="s">
        <v>869</v>
      </c>
      <c r="B15" s="14" t="s">
        <v>870</v>
      </c>
      <c r="C15" s="70" t="n">
        <f aca="false">'Effort - Mobile &amp; IPRS'!G22</f>
        <v>46</v>
      </c>
      <c r="D15" s="74" t="n">
        <v>1</v>
      </c>
      <c r="E15" s="26" t="n">
        <f aca="false">ROUND(C15*D15,0)</f>
        <v>46</v>
      </c>
      <c r="F15" s="19"/>
    </row>
    <row r="16" customFormat="false" ht="23.25" hidden="false" customHeight="true" outlineLevel="0" collapsed="false">
      <c r="A16" s="17" t="s">
        <v>873</v>
      </c>
      <c r="B16" s="14" t="s">
        <v>874</v>
      </c>
      <c r="C16" s="70" t="n">
        <f aca="false">'Effort - Mobile &amp; IPRS'!G23</f>
        <v>31</v>
      </c>
      <c r="D16" s="74" t="n">
        <v>1</v>
      </c>
      <c r="E16" s="26" t="n">
        <f aca="false">ROUND(C16*D16,0)</f>
        <v>31</v>
      </c>
      <c r="F16" s="19"/>
    </row>
    <row r="17" customFormat="false" ht="15" hidden="false" customHeight="true" outlineLevel="0" collapsed="false">
      <c r="A17" s="17" t="s">
        <v>877</v>
      </c>
      <c r="B17" s="14" t="s">
        <v>878</v>
      </c>
      <c r="C17" s="70" t="n">
        <f aca="false">'Effort - Mobile &amp; IPRS'!G24</f>
        <v>19</v>
      </c>
      <c r="D17" s="74" t="n">
        <v>1</v>
      </c>
      <c r="E17" s="26" t="n">
        <f aca="false">ROUND(C17*D17,0)</f>
        <v>19</v>
      </c>
      <c r="F17" s="19"/>
    </row>
    <row r="18" customFormat="false" ht="15" hidden="false" customHeight="true" outlineLevel="0" collapsed="false">
      <c r="A18" s="17" t="s">
        <v>880</v>
      </c>
      <c r="B18" s="14" t="s">
        <v>881</v>
      </c>
      <c r="C18" s="70" t="n">
        <f aca="false">'Effort - Mobile &amp; IPRS'!G25</f>
        <v>21</v>
      </c>
      <c r="D18" s="74" t="n">
        <v>1</v>
      </c>
      <c r="E18" s="26" t="n">
        <f aca="false">ROUND(C18*D18,0)</f>
        <v>21</v>
      </c>
      <c r="F18" s="19"/>
    </row>
    <row r="19" customFormat="false" ht="15" hidden="false" customHeight="true" outlineLevel="0" collapsed="false">
      <c r="A19" s="17" t="s">
        <v>883</v>
      </c>
      <c r="B19" s="14" t="s">
        <v>884</v>
      </c>
      <c r="C19" s="70" t="n">
        <f aca="false">'Effort - Mobile &amp; IPRS'!G26</f>
        <v>26</v>
      </c>
      <c r="D19" s="74" t="n">
        <v>1</v>
      </c>
      <c r="E19" s="26" t="n">
        <f aca="false">ROUND(C19*D19,0)</f>
        <v>26</v>
      </c>
      <c r="F19" s="19"/>
    </row>
    <row r="20" customFormat="false" ht="15" hidden="false" customHeight="true" outlineLevel="0" collapsed="false">
      <c r="A20" s="17" t="s">
        <v>885</v>
      </c>
      <c r="B20" s="14" t="s">
        <v>886</v>
      </c>
      <c r="C20" s="70" t="n">
        <f aca="false">'Effort - Mobile &amp; IPRS'!G27</f>
        <v>21</v>
      </c>
      <c r="D20" s="74" t="n">
        <v>1</v>
      </c>
      <c r="E20" s="26" t="n">
        <f aca="false">ROUND(C20*D20,0)</f>
        <v>21</v>
      </c>
      <c r="F20" s="19"/>
    </row>
    <row r="21" customFormat="false" ht="15" hidden="false" customHeight="true" outlineLevel="0" collapsed="false">
      <c r="A21" s="17" t="s">
        <v>888</v>
      </c>
      <c r="B21" s="14" t="s">
        <v>889</v>
      </c>
      <c r="C21" s="70" t="n">
        <f aca="false">'Effort - Mobile &amp; IPRS'!G28</f>
        <v>21</v>
      </c>
      <c r="D21" s="74" t="n">
        <v>1</v>
      </c>
      <c r="E21" s="26" t="n">
        <f aca="false">ROUND(C21*D21,0)</f>
        <v>21</v>
      </c>
      <c r="F21" s="19"/>
    </row>
    <row r="22" customFormat="false" ht="15" hidden="false" customHeight="true" outlineLevel="0" collapsed="false">
      <c r="A22" s="17" t="s">
        <v>890</v>
      </c>
      <c r="B22" s="14" t="s">
        <v>891</v>
      </c>
      <c r="C22" s="70" t="n">
        <f aca="false">'Effort - Mobile &amp; IPRS'!G29</f>
        <v>13</v>
      </c>
      <c r="D22" s="74" t="n">
        <v>1</v>
      </c>
      <c r="E22" s="26" t="n">
        <f aca="false">ROUND(C22*D22,0)</f>
        <v>13</v>
      </c>
      <c r="F22" s="19"/>
    </row>
    <row r="23" customFormat="false" ht="15" hidden="false" customHeight="true" outlineLevel="0" collapsed="false">
      <c r="A23" s="17" t="s">
        <v>99</v>
      </c>
      <c r="B23" s="14" t="s">
        <v>896</v>
      </c>
      <c r="C23" s="70" t="n">
        <f aca="false">'Effort - Mobile &amp; IPRS'!G33</f>
        <v>35</v>
      </c>
      <c r="D23" s="74" t="n">
        <v>1</v>
      </c>
      <c r="E23" s="26" t="n">
        <f aca="false">ROUND(C23*D23,0)</f>
        <v>35</v>
      </c>
      <c r="F23" s="19"/>
    </row>
    <row r="24" customFormat="false" ht="15" hidden="false" customHeight="true" outlineLevel="0" collapsed="false">
      <c r="A24" s="17" t="s">
        <v>103</v>
      </c>
      <c r="B24" s="14" t="s">
        <v>897</v>
      </c>
      <c r="C24" s="70" t="n">
        <f aca="false">'Effort - Mobile &amp; IPRS'!G34</f>
        <v>33</v>
      </c>
      <c r="D24" s="74" t="n">
        <v>1</v>
      </c>
      <c r="E24" s="26" t="n">
        <f aca="false">ROUND(C24*D24,0)</f>
        <v>33</v>
      </c>
      <c r="F24" s="19"/>
    </row>
    <row r="25" customFormat="false" ht="15" hidden="false" customHeight="true" outlineLevel="0" collapsed="false">
      <c r="A25" s="17" t="s">
        <v>107</v>
      </c>
      <c r="B25" s="14" t="s">
        <v>898</v>
      </c>
      <c r="C25" s="70" t="n">
        <f aca="false">'Effort - Mobile &amp; IPRS'!G35</f>
        <v>25</v>
      </c>
      <c r="D25" s="74" t="n">
        <v>1</v>
      </c>
      <c r="E25" s="26" t="n">
        <f aca="false">ROUND(C25*D25,0)</f>
        <v>25</v>
      </c>
      <c r="F25" s="19"/>
    </row>
    <row r="26" customFormat="false" ht="15" hidden="false" customHeight="true" outlineLevel="0" collapsed="false">
      <c r="A26" s="17" t="s">
        <v>618</v>
      </c>
      <c r="B26" s="14" t="s">
        <v>899</v>
      </c>
      <c r="C26" s="70" t="n">
        <f aca="false">'Effort - Mobile &amp; IPRS'!G36</f>
        <v>25</v>
      </c>
      <c r="D26" s="74" t="n">
        <v>1</v>
      </c>
      <c r="E26" s="26" t="n">
        <f aca="false">ROUND(C26*D26,0)</f>
        <v>25</v>
      </c>
      <c r="F26" s="19"/>
    </row>
    <row r="27" customFormat="false" ht="23.25" hidden="false" customHeight="true" outlineLevel="0" collapsed="false">
      <c r="A27" s="17" t="s">
        <v>621</v>
      </c>
      <c r="B27" s="14" t="s">
        <v>901</v>
      </c>
      <c r="C27" s="70" t="n">
        <f aca="false">'Effort - Mobile &amp; IPRS'!G37</f>
        <v>27</v>
      </c>
      <c r="D27" s="74" t="n">
        <v>1</v>
      </c>
      <c r="E27" s="26" t="n">
        <f aca="false">ROUND(C27*D27,0)</f>
        <v>27</v>
      </c>
      <c r="F27" s="19"/>
    </row>
    <row r="28" customFormat="false" ht="15" hidden="false" customHeight="true" outlineLevel="0" collapsed="false">
      <c r="A28" s="17" t="s">
        <v>624</v>
      </c>
      <c r="B28" s="14" t="s">
        <v>903</v>
      </c>
      <c r="C28" s="70" t="n">
        <f aca="false">'Effort - Mobile &amp; IPRS'!G38</f>
        <v>41</v>
      </c>
      <c r="D28" s="74" t="n">
        <v>1</v>
      </c>
      <c r="E28" s="26" t="n">
        <f aca="false">ROUND(C28*D28,0)</f>
        <v>41</v>
      </c>
      <c r="F28" s="19"/>
    </row>
    <row r="29" customFormat="false" ht="15" hidden="false" customHeight="true" outlineLevel="0" collapsed="false">
      <c r="A29" s="17" t="s">
        <v>905</v>
      </c>
      <c r="B29" s="14" t="s">
        <v>906</v>
      </c>
      <c r="C29" s="70" t="n">
        <f aca="false">'Effort - Mobile &amp; IPRS'!G39</f>
        <v>26</v>
      </c>
      <c r="D29" s="74" t="n">
        <v>1</v>
      </c>
      <c r="E29" s="26" t="n">
        <f aca="false">ROUND(C29*D29,0)</f>
        <v>26</v>
      </c>
      <c r="F29" s="19"/>
    </row>
    <row r="30" customFormat="false" ht="15" hidden="false" customHeight="true" outlineLevel="0" collapsed="false">
      <c r="A30" s="17" t="s">
        <v>907</v>
      </c>
      <c r="B30" s="14" t="s">
        <v>908</v>
      </c>
      <c r="C30" s="70" t="n">
        <f aca="false">'Effort - Mobile &amp; IPRS'!G40</f>
        <v>16</v>
      </c>
      <c r="D30" s="74" t="n">
        <v>1</v>
      </c>
      <c r="E30" s="26" t="n">
        <f aca="false">ROUND(C30*D30,0)</f>
        <v>16</v>
      </c>
      <c r="F30" s="19"/>
    </row>
    <row r="31" customFormat="false" ht="15" hidden="false" customHeight="true" outlineLevel="0" collapsed="false">
      <c r="A31" s="17" t="s">
        <v>909</v>
      </c>
      <c r="B31" s="14" t="s">
        <v>910</v>
      </c>
      <c r="C31" s="70" t="n">
        <f aca="false">'Effort - Mobile &amp; IPRS'!G41</f>
        <v>21</v>
      </c>
      <c r="D31" s="74" t="n">
        <v>1</v>
      </c>
      <c r="E31" s="26" t="n">
        <f aca="false">ROUND(C31*D31,0)</f>
        <v>21</v>
      </c>
      <c r="F31" s="19"/>
    </row>
    <row r="32" customFormat="false" ht="15" hidden="false" customHeight="true" outlineLevel="0" collapsed="false">
      <c r="A32" s="17" t="s">
        <v>912</v>
      </c>
      <c r="B32" s="14" t="s">
        <v>913</v>
      </c>
      <c r="C32" s="70" t="n">
        <f aca="false">'Effort - Mobile &amp; IPRS'!G42</f>
        <v>21</v>
      </c>
      <c r="D32" s="74" t="n">
        <v>1</v>
      </c>
      <c r="E32" s="26" t="n">
        <f aca="false">ROUND(C32*D32,0)</f>
        <v>21</v>
      </c>
      <c r="F32" s="19"/>
    </row>
    <row r="33" customFormat="false" ht="15" hidden="false" customHeight="true" outlineLevel="0" collapsed="false">
      <c r="A33" s="17" t="s">
        <v>915</v>
      </c>
      <c r="B33" s="14" t="s">
        <v>916</v>
      </c>
      <c r="C33" s="70" t="n">
        <f aca="false">'Effort - Mobile &amp; IPRS'!G43</f>
        <v>23</v>
      </c>
      <c r="D33" s="74" t="n">
        <v>1</v>
      </c>
      <c r="E33" s="26" t="n">
        <f aca="false">ROUND(C33*D33,0)</f>
        <v>23</v>
      </c>
      <c r="F33" s="19"/>
    </row>
    <row r="34" customFormat="false" ht="15" hidden="false" customHeight="true" outlineLevel="0" collapsed="false">
      <c r="A34" s="17" t="s">
        <v>918</v>
      </c>
      <c r="B34" s="14" t="s">
        <v>919</v>
      </c>
      <c r="C34" s="70" t="n">
        <f aca="false">'Effort - Mobile &amp; IPRS'!G44</f>
        <v>36</v>
      </c>
      <c r="D34" s="74" t="n">
        <v>1</v>
      </c>
      <c r="E34" s="26" t="n">
        <f aca="false">ROUND(C34*D34,0)</f>
        <v>36</v>
      </c>
      <c r="F34" s="19"/>
    </row>
    <row r="35" customFormat="false" ht="23.25" hidden="false" customHeight="true" outlineLevel="0" collapsed="false">
      <c r="A35" s="17" t="s">
        <v>920</v>
      </c>
      <c r="B35" s="14" t="s">
        <v>921</v>
      </c>
      <c r="C35" s="70" t="n">
        <f aca="false">'Effort - Mobile &amp; IPRS'!G45</f>
        <v>26</v>
      </c>
      <c r="D35" s="74" t="n">
        <v>1</v>
      </c>
      <c r="E35" s="26" t="n">
        <f aca="false">ROUND(C35*D35,0)</f>
        <v>26</v>
      </c>
      <c r="F35" s="19"/>
    </row>
    <row r="36" customFormat="false" ht="15" hidden="false" customHeight="true" outlineLevel="0" collapsed="false">
      <c r="A36" s="17" t="s">
        <v>926</v>
      </c>
      <c r="B36" s="14" t="s">
        <v>927</v>
      </c>
      <c r="C36" s="70" t="n">
        <f aca="false">'Effort - Mobile &amp; IPRS'!G49</f>
        <v>72</v>
      </c>
      <c r="D36" s="74" t="n">
        <v>1</v>
      </c>
      <c r="E36" s="26" t="n">
        <f aca="false">ROUND(C36*D36,0)</f>
        <v>72</v>
      </c>
      <c r="F36" s="19"/>
    </row>
    <row r="37" customFormat="false" ht="23.25" hidden="false" customHeight="true" outlineLevel="0" collapsed="false">
      <c r="A37" s="17" t="s">
        <v>928</v>
      </c>
      <c r="B37" s="14" t="s">
        <v>929</v>
      </c>
      <c r="C37" s="70" t="n">
        <f aca="false">'Effort - Mobile &amp; IPRS'!G50</f>
        <v>31</v>
      </c>
      <c r="D37" s="74" t="n">
        <v>1</v>
      </c>
      <c r="E37" s="26" t="n">
        <f aca="false">ROUND(C37*D37,0)</f>
        <v>31</v>
      </c>
      <c r="F37" s="19"/>
    </row>
    <row r="38" customFormat="false" ht="15" hidden="false" customHeight="true" outlineLevel="0" collapsed="false">
      <c r="A38" s="17" t="s">
        <v>930</v>
      </c>
      <c r="B38" s="14" t="s">
        <v>931</v>
      </c>
      <c r="C38" s="70" t="n">
        <f aca="false">'Effort - Mobile &amp; IPRS'!G51</f>
        <v>13</v>
      </c>
      <c r="D38" s="74" t="n">
        <v>1</v>
      </c>
      <c r="E38" s="26" t="n">
        <f aca="false">ROUND(C38*D38,0)</f>
        <v>13</v>
      </c>
      <c r="F38" s="19"/>
    </row>
    <row r="39" customFormat="false" ht="15" hidden="false" customHeight="true" outlineLevel="0" collapsed="false">
      <c r="A39" s="17" t="s">
        <v>932</v>
      </c>
      <c r="B39" s="14" t="s">
        <v>933</v>
      </c>
      <c r="C39" s="70" t="n">
        <f aca="false">'Effort - Mobile &amp; IPRS'!G52</f>
        <v>16</v>
      </c>
      <c r="D39" s="74" t="n">
        <v>1</v>
      </c>
      <c r="E39" s="26" t="n">
        <f aca="false">ROUND(C39*D39,0)</f>
        <v>16</v>
      </c>
      <c r="F39" s="19"/>
    </row>
    <row r="40" customFormat="false" ht="15" hidden="false" customHeight="true" outlineLevel="0" collapsed="false">
      <c r="A40" s="17" t="s">
        <v>934</v>
      </c>
      <c r="B40" s="14" t="s">
        <v>935</v>
      </c>
      <c r="C40" s="70" t="n">
        <f aca="false">'Effort - Mobile &amp; IPRS'!G53</f>
        <v>21</v>
      </c>
      <c r="D40" s="74" t="n">
        <v>1</v>
      </c>
      <c r="E40" s="26" t="n">
        <f aca="false">ROUND(C40*D40,0)</f>
        <v>21</v>
      </c>
      <c r="F40" s="19"/>
    </row>
    <row r="41" customFormat="false" ht="15" hidden="false" customHeight="true" outlineLevel="0" collapsed="false">
      <c r="A41" s="17" t="s">
        <v>937</v>
      </c>
      <c r="B41" s="14" t="s">
        <v>938</v>
      </c>
      <c r="C41" s="70" t="n">
        <f aca="false">'Effort - Mobile &amp; IPRS'!G54</f>
        <v>5</v>
      </c>
      <c r="D41" s="74" t="n">
        <v>1</v>
      </c>
      <c r="E41" s="26" t="n">
        <f aca="false">ROUND(C41*D41,0)</f>
        <v>5</v>
      </c>
      <c r="F41" s="19"/>
    </row>
    <row r="42" customFormat="false" ht="15" hidden="false" customHeight="true" outlineLevel="0" collapsed="false">
      <c r="A42" s="17" t="s">
        <v>939</v>
      </c>
      <c r="B42" s="14" t="s">
        <v>940</v>
      </c>
      <c r="C42" s="70" t="n">
        <f aca="false">'Effort - Mobile &amp; IPRS'!G55</f>
        <v>13</v>
      </c>
      <c r="D42" s="74" t="n">
        <v>1</v>
      </c>
      <c r="E42" s="26" t="n">
        <f aca="false">ROUND(C42*D42,0)</f>
        <v>13</v>
      </c>
      <c r="F42" s="19"/>
    </row>
    <row r="43" customFormat="false" ht="15" hidden="false" customHeight="true" outlineLevel="0" collapsed="false">
      <c r="A43" s="17" t="s">
        <v>942</v>
      </c>
      <c r="B43" s="14" t="s">
        <v>943</v>
      </c>
      <c r="C43" s="70" t="n">
        <f aca="false">'Effort - Mobile &amp; IPRS'!G56</f>
        <v>26</v>
      </c>
      <c r="D43" s="74" t="n">
        <v>1</v>
      </c>
      <c r="E43" s="26" t="n">
        <f aca="false">ROUND(C43*D43,0)</f>
        <v>26</v>
      </c>
      <c r="F43" s="19"/>
    </row>
    <row r="44" customFormat="false" ht="15" hidden="false" customHeight="true" outlineLevel="0" collapsed="false">
      <c r="A44" s="17" t="s">
        <v>945</v>
      </c>
      <c r="B44" s="14" t="s">
        <v>946</v>
      </c>
      <c r="C44" s="70" t="n">
        <f aca="false">'Effort - Mobile &amp; IPRS'!G57</f>
        <v>25</v>
      </c>
      <c r="D44" s="74" t="n">
        <v>1</v>
      </c>
      <c r="E44" s="26" t="n">
        <f aca="false">ROUND(C44*D44,0)</f>
        <v>25</v>
      </c>
      <c r="F44" s="19"/>
    </row>
    <row r="45" customFormat="false" ht="15" hidden="false" customHeight="true" outlineLevel="0" collapsed="false">
      <c r="A45" s="17" t="s">
        <v>948</v>
      </c>
      <c r="B45" s="14" t="s">
        <v>949</v>
      </c>
      <c r="C45" s="70" t="n">
        <f aca="false">'Effort - Mobile &amp; IPRS'!G58</f>
        <v>15</v>
      </c>
      <c r="D45" s="74" t="n">
        <v>1</v>
      </c>
      <c r="E45" s="26" t="n">
        <f aca="false">ROUND(C45*D45,0)</f>
        <v>15</v>
      </c>
      <c r="F45" s="19"/>
    </row>
    <row r="46" customFormat="false" ht="15" hidden="false" customHeight="true" outlineLevel="0" collapsed="false">
      <c r="A46" s="17" t="s">
        <v>951</v>
      </c>
      <c r="B46" s="14" t="s">
        <v>952</v>
      </c>
      <c r="C46" s="70" t="n">
        <f aca="false">'Effort - Mobile &amp; IPRS'!G59</f>
        <v>46</v>
      </c>
      <c r="D46" s="74" t="n">
        <v>1</v>
      </c>
      <c r="E46" s="26" t="n">
        <f aca="false">ROUND(C46*D46,0)</f>
        <v>46</v>
      </c>
      <c r="F46" s="19"/>
    </row>
    <row r="47" customFormat="false" ht="15" hidden="false" customHeight="true" outlineLevel="0" collapsed="false">
      <c r="A47" s="17" t="s">
        <v>954</v>
      </c>
      <c r="B47" s="14" t="s">
        <v>955</v>
      </c>
      <c r="C47" s="70" t="n">
        <f aca="false">'Effort - Mobile &amp; IPRS'!G60</f>
        <v>31</v>
      </c>
      <c r="D47" s="74" t="n">
        <v>1</v>
      </c>
      <c r="E47" s="26" t="n">
        <f aca="false">ROUND(C47*D47,0)</f>
        <v>31</v>
      </c>
      <c r="F47" s="19"/>
    </row>
    <row r="48" customFormat="false" ht="15" hidden="false" customHeight="true" outlineLevel="0" collapsed="false">
      <c r="A48" s="17" t="s">
        <v>991</v>
      </c>
      <c r="B48" s="14" t="s">
        <v>992</v>
      </c>
      <c r="C48" s="70" t="n">
        <f aca="false">'Effort - Website'!G6</f>
        <v>29</v>
      </c>
      <c r="D48" s="74" t="n">
        <v>1</v>
      </c>
      <c r="E48" s="26" t="n">
        <f aca="false">ROUND(C48*D48,0)</f>
        <v>29</v>
      </c>
      <c r="F48" s="19"/>
    </row>
    <row r="49" customFormat="false" ht="15" hidden="false" customHeight="true" outlineLevel="0" collapsed="false">
      <c r="A49" s="17" t="s">
        <v>994</v>
      </c>
      <c r="B49" s="14" t="s">
        <v>995</v>
      </c>
      <c r="C49" s="70" t="n">
        <f aca="false">'Effort - Website'!G7</f>
        <v>14</v>
      </c>
      <c r="D49" s="75" t="n">
        <v>0.5</v>
      </c>
      <c r="E49" s="26" t="n">
        <f aca="false">ROUND(C49*D49,0)</f>
        <v>7</v>
      </c>
      <c r="F49" s="19" t="s">
        <v>1266</v>
      </c>
    </row>
    <row r="50" customFormat="false" ht="15" hidden="false" customHeight="true" outlineLevel="0" collapsed="false">
      <c r="A50" s="17" t="s">
        <v>999</v>
      </c>
      <c r="B50" s="14" t="s">
        <v>1000</v>
      </c>
      <c r="C50" s="70" t="n">
        <f aca="false">'Effort - Website'!G11</f>
        <v>31</v>
      </c>
      <c r="D50" s="74" t="n">
        <v>1</v>
      </c>
      <c r="E50" s="26" t="n">
        <f aca="false">ROUND(C50*D50,0)</f>
        <v>31</v>
      </c>
      <c r="F50" s="19"/>
    </row>
    <row r="51" customFormat="false" ht="15" hidden="false" customHeight="true" outlineLevel="0" collapsed="false">
      <c r="A51" s="17" t="s">
        <v>1002</v>
      </c>
      <c r="B51" s="14" t="s">
        <v>1003</v>
      </c>
      <c r="C51" s="70" t="n">
        <f aca="false">'Effort - Website'!G12</f>
        <v>43</v>
      </c>
      <c r="D51" s="74" t="n">
        <v>1</v>
      </c>
      <c r="E51" s="26" t="n">
        <f aca="false">ROUND(C51*D51,0)</f>
        <v>43</v>
      </c>
      <c r="F51" s="19" t="s">
        <v>1267</v>
      </c>
    </row>
    <row r="52" customFormat="false" ht="15" hidden="false" customHeight="true" outlineLevel="0" collapsed="false">
      <c r="A52" s="17" t="s">
        <v>1005</v>
      </c>
      <c r="B52" s="14" t="s">
        <v>1006</v>
      </c>
      <c r="C52" s="70" t="n">
        <f aca="false">'Effort - Website'!G13</f>
        <v>17</v>
      </c>
      <c r="D52" s="74" t="n">
        <v>1</v>
      </c>
      <c r="E52" s="26" t="n">
        <f aca="false">ROUND(C52*D52,0)</f>
        <v>17</v>
      </c>
      <c r="F52" s="19"/>
    </row>
    <row r="53" customFormat="false" ht="15" hidden="false" customHeight="true" outlineLevel="0" collapsed="false">
      <c r="A53" s="17" t="s">
        <v>1011</v>
      </c>
      <c r="B53" s="14" t="s">
        <v>1012</v>
      </c>
      <c r="C53" s="70" t="n">
        <f aca="false">'Effort - Website'!G17</f>
        <v>25</v>
      </c>
      <c r="D53" s="75" t="n">
        <v>0.45</v>
      </c>
      <c r="E53" s="26" t="n">
        <f aca="false">ROUND(C53*D53,0)</f>
        <v>11</v>
      </c>
      <c r="F53" s="19" t="s">
        <v>1268</v>
      </c>
    </row>
    <row r="54" customFormat="false" ht="15" hidden="false" customHeight="true" outlineLevel="0" collapsed="false">
      <c r="A54" s="17" t="s">
        <v>1015</v>
      </c>
      <c r="B54" s="14" t="s">
        <v>1016</v>
      </c>
      <c r="C54" s="70" t="n">
        <f aca="false">'Effort - Website'!G18</f>
        <v>21</v>
      </c>
      <c r="D54" s="75" t="n">
        <v>0.7</v>
      </c>
      <c r="E54" s="26" t="n">
        <f aca="false">ROUND(C54*D54,0)</f>
        <v>15</v>
      </c>
      <c r="F54" s="19" t="s">
        <v>1266</v>
      </c>
    </row>
    <row r="55" customFormat="false" ht="15" hidden="false" customHeight="true" outlineLevel="0" collapsed="false">
      <c r="A55" s="17" t="s">
        <v>1018</v>
      </c>
      <c r="B55" s="14" t="s">
        <v>1019</v>
      </c>
      <c r="C55" s="70" t="n">
        <f aca="false">'Effort - Website'!G19</f>
        <v>13</v>
      </c>
      <c r="D55" s="75" t="n">
        <v>0.7</v>
      </c>
      <c r="E55" s="26" t="n">
        <f aca="false">ROUND(C55*D55,0)</f>
        <v>9</v>
      </c>
      <c r="F55" s="19" t="s">
        <v>1266</v>
      </c>
    </row>
    <row r="56" customFormat="false" ht="15" hidden="false" customHeight="true" outlineLevel="0" collapsed="false">
      <c r="A56" s="17" t="s">
        <v>1020</v>
      </c>
      <c r="B56" s="14" t="s">
        <v>1021</v>
      </c>
      <c r="C56" s="70" t="n">
        <f aca="false">'Effort - Website'!G20</f>
        <v>11</v>
      </c>
      <c r="D56" s="75" t="n">
        <v>0.7</v>
      </c>
      <c r="E56" s="26" t="n">
        <f aca="false">ROUND(C56*D56,0)</f>
        <v>8</v>
      </c>
      <c r="F56" s="19" t="s">
        <v>1266</v>
      </c>
    </row>
    <row r="57" customFormat="false" ht="15" hidden="false" customHeight="true" outlineLevel="0" collapsed="false">
      <c r="A57" s="17" t="s">
        <v>1022</v>
      </c>
      <c r="B57" s="14" t="s">
        <v>1023</v>
      </c>
      <c r="C57" s="70" t="n">
        <f aca="false">'Effort - Website'!G21</f>
        <v>13</v>
      </c>
      <c r="D57" s="75" t="n">
        <v>0.7</v>
      </c>
      <c r="E57" s="26" t="n">
        <f aca="false">ROUND(C57*D57,0)</f>
        <v>9</v>
      </c>
      <c r="F57" s="19" t="s">
        <v>1266</v>
      </c>
    </row>
    <row r="58" customFormat="false" ht="15" hidden="false" customHeight="true" outlineLevel="0" collapsed="false">
      <c r="A58" s="17" t="s">
        <v>1024</v>
      </c>
      <c r="B58" s="14" t="s">
        <v>1025</v>
      </c>
      <c r="C58" s="70" t="n">
        <f aca="false">'Effort - Website'!G22</f>
        <v>19</v>
      </c>
      <c r="D58" s="75" t="n">
        <v>0.85</v>
      </c>
      <c r="E58" s="26" t="n">
        <f aca="false">ROUND(C58*D58,0)</f>
        <v>16</v>
      </c>
      <c r="F58" s="19" t="s">
        <v>1266</v>
      </c>
    </row>
    <row r="59" customFormat="false" ht="15" hidden="false" customHeight="true" outlineLevel="0" collapsed="false">
      <c r="A59" s="17" t="s">
        <v>1026</v>
      </c>
      <c r="B59" s="14" t="s">
        <v>1027</v>
      </c>
      <c r="C59" s="70" t="n">
        <f aca="false">'Effort - Website'!G23</f>
        <v>21</v>
      </c>
      <c r="D59" s="75" t="n">
        <v>0.7</v>
      </c>
      <c r="E59" s="26" t="n">
        <f aca="false">ROUND(C59*D59,0)</f>
        <v>15</v>
      </c>
      <c r="F59" s="19" t="s">
        <v>1266</v>
      </c>
    </row>
    <row r="60" customFormat="false" ht="15" hidden="false" customHeight="true" outlineLevel="0" collapsed="false">
      <c r="A60" s="17" t="s">
        <v>1033</v>
      </c>
      <c r="B60" s="14" t="s">
        <v>1034</v>
      </c>
      <c r="C60" s="70" t="n">
        <f aca="false">'Effort - Website'!G27</f>
        <v>29</v>
      </c>
      <c r="D60" s="74" t="n">
        <v>1</v>
      </c>
      <c r="E60" s="26" t="n">
        <f aca="false">ROUND(C60*D60,0)</f>
        <v>29</v>
      </c>
      <c r="F60" s="19"/>
    </row>
    <row r="61" customFormat="false" ht="15" hidden="false" customHeight="true" outlineLevel="0" collapsed="false">
      <c r="A61" s="17" t="s">
        <v>1036</v>
      </c>
      <c r="B61" s="14" t="s">
        <v>1037</v>
      </c>
      <c r="C61" s="70" t="n">
        <f aca="false">'Effort - Website'!G28</f>
        <v>17</v>
      </c>
      <c r="D61" s="75" t="n">
        <v>0.6</v>
      </c>
      <c r="E61" s="26" t="n">
        <f aca="false">ROUND(C61*D61,0)</f>
        <v>10</v>
      </c>
      <c r="F61" s="19" t="s">
        <v>1266</v>
      </c>
    </row>
    <row r="62" customFormat="false" ht="23.25" hidden="false" customHeight="true" outlineLevel="0" collapsed="false">
      <c r="A62" s="17" t="s">
        <v>1038</v>
      </c>
      <c r="B62" s="14" t="s">
        <v>1039</v>
      </c>
      <c r="C62" s="70" t="n">
        <f aca="false">'Effort - Website'!G29</f>
        <v>25</v>
      </c>
      <c r="D62" s="75" t="n">
        <v>0.75</v>
      </c>
      <c r="E62" s="26" t="n">
        <f aca="false">ROUND(C62*D62,0)</f>
        <v>19</v>
      </c>
      <c r="F62" s="19" t="s">
        <v>1266</v>
      </c>
    </row>
    <row r="63" customFormat="false" ht="15" hidden="false" customHeight="true" outlineLevel="0" collapsed="false">
      <c r="A63" s="17" t="s">
        <v>1041</v>
      </c>
      <c r="B63" s="14" t="s">
        <v>1042</v>
      </c>
      <c r="C63" s="70" t="n">
        <f aca="false">'Effort - Website'!G30</f>
        <v>31</v>
      </c>
      <c r="D63" s="74" t="n">
        <v>1</v>
      </c>
      <c r="E63" s="26" t="n">
        <f aca="false">ROUND(C63*D63,0)</f>
        <v>31</v>
      </c>
      <c r="F63" s="19"/>
    </row>
    <row r="64" customFormat="false" ht="15" hidden="false" customHeight="true" outlineLevel="0" collapsed="false">
      <c r="A64" s="17" t="s">
        <v>1043</v>
      </c>
      <c r="B64" s="14" t="s">
        <v>1044</v>
      </c>
      <c r="C64" s="70" t="n">
        <f aca="false">'Effort - Website'!G31</f>
        <v>19</v>
      </c>
      <c r="D64" s="75" t="n">
        <v>0.6</v>
      </c>
      <c r="E64" s="26" t="n">
        <f aca="false">ROUND(C64*D64,0)</f>
        <v>11</v>
      </c>
      <c r="F64" s="19" t="s">
        <v>1266</v>
      </c>
    </row>
    <row r="65" customFormat="false" ht="15" hidden="false" customHeight="true" outlineLevel="0" collapsed="false">
      <c r="A65" s="17" t="s">
        <v>1045</v>
      </c>
      <c r="B65" s="14" t="s">
        <v>1046</v>
      </c>
      <c r="C65" s="70" t="n">
        <f aca="false">'Effort - Website'!G32</f>
        <v>17</v>
      </c>
      <c r="D65" s="74" t="n">
        <v>1</v>
      </c>
      <c r="E65" s="26" t="n">
        <f aca="false">ROUND(C65*D65,0)</f>
        <v>17</v>
      </c>
      <c r="F65" s="19"/>
    </row>
    <row r="66" customFormat="false" ht="15" hidden="false" customHeight="true" outlineLevel="0" collapsed="false">
      <c r="A66" s="17" t="s">
        <v>1047</v>
      </c>
      <c r="B66" s="14" t="s">
        <v>1048</v>
      </c>
      <c r="C66" s="70" t="n">
        <f aca="false">'Effort - Website'!G33</f>
        <v>46</v>
      </c>
      <c r="D66" s="74" t="n">
        <v>1</v>
      </c>
      <c r="E66" s="26" t="n">
        <f aca="false">ROUND(C66*D66,0)</f>
        <v>46</v>
      </c>
      <c r="F66" s="19"/>
    </row>
    <row r="67" customFormat="false" ht="15" hidden="false" customHeight="true" outlineLevel="0" collapsed="false">
      <c r="A67" s="17" t="s">
        <v>1050</v>
      </c>
      <c r="B67" s="14" t="s">
        <v>1051</v>
      </c>
      <c r="C67" s="70" t="n">
        <f aca="false">'Effort - Website'!G34</f>
        <v>25</v>
      </c>
      <c r="D67" s="75" t="n">
        <v>0.55</v>
      </c>
      <c r="E67" s="26" t="n">
        <f aca="false">ROUND(C67*D67,0)</f>
        <v>14</v>
      </c>
      <c r="F67" s="19" t="s">
        <v>1266</v>
      </c>
    </row>
    <row r="68" customFormat="false" ht="15" hidden="false" customHeight="true" outlineLevel="0" collapsed="false">
      <c r="A68" s="17" t="s">
        <v>1055</v>
      </c>
      <c r="B68" s="14" t="s">
        <v>1056</v>
      </c>
      <c r="C68" s="70" t="n">
        <f aca="false">'Effort - Website'!G38</f>
        <v>51</v>
      </c>
      <c r="D68" s="75" t="n">
        <v>0.85</v>
      </c>
      <c r="E68" s="26" t="n">
        <f aca="false">ROUND(C68*D68,0)</f>
        <v>43</v>
      </c>
      <c r="F68" s="19" t="s">
        <v>1266</v>
      </c>
    </row>
    <row r="69" customFormat="false" ht="15" hidden="false" customHeight="true" outlineLevel="0" collapsed="false">
      <c r="A69" s="17" t="s">
        <v>1058</v>
      </c>
      <c r="B69" s="14" t="s">
        <v>1059</v>
      </c>
      <c r="C69" s="70" t="n">
        <f aca="false">'Effort - Website'!G39</f>
        <v>19</v>
      </c>
      <c r="D69" s="74" t="n">
        <v>1</v>
      </c>
      <c r="E69" s="26" t="n">
        <f aca="false">ROUND(C69*D69,0)</f>
        <v>19</v>
      </c>
      <c r="F69" s="19"/>
    </row>
    <row r="70" customFormat="false" ht="15" hidden="false" customHeight="true" outlineLevel="0" collapsed="false">
      <c r="A70" s="17" t="s">
        <v>1061</v>
      </c>
      <c r="B70" s="14" t="s">
        <v>1062</v>
      </c>
      <c r="C70" s="70" t="n">
        <f aca="false">'Effort - Website'!G40</f>
        <v>16</v>
      </c>
      <c r="D70" s="74" t="n">
        <v>1</v>
      </c>
      <c r="E70" s="26" t="n">
        <f aca="false">ROUND(C70*D70,0)</f>
        <v>16</v>
      </c>
      <c r="F70" s="19"/>
    </row>
    <row r="71" customFormat="false" ht="15" hidden="false" customHeight="true" outlineLevel="0" collapsed="false">
      <c r="A71" s="17" t="s">
        <v>1064</v>
      </c>
      <c r="B71" s="14" t="s">
        <v>1065</v>
      </c>
      <c r="C71" s="70" t="n">
        <f aca="false">'Effort - Website'!G41</f>
        <v>39</v>
      </c>
      <c r="D71" s="74" t="n">
        <v>1</v>
      </c>
      <c r="E71" s="26" t="n">
        <f aca="false">ROUND(C71*D71,0)</f>
        <v>39</v>
      </c>
      <c r="F71" s="19"/>
    </row>
    <row r="72" customFormat="false" ht="15" hidden="false" customHeight="true" outlineLevel="0" collapsed="false">
      <c r="A72" s="17" t="s">
        <v>715</v>
      </c>
      <c r="B72" s="14" t="s">
        <v>1069</v>
      </c>
      <c r="C72" s="70" t="n">
        <f aca="false">'Effort - Website'!G45</f>
        <v>33</v>
      </c>
      <c r="D72" s="74" t="n">
        <v>1</v>
      </c>
      <c r="E72" s="26" t="n">
        <f aca="false">ROUND(C72*D72,0)</f>
        <v>33</v>
      </c>
      <c r="F72" s="19"/>
    </row>
    <row r="73" customFormat="false" ht="15" hidden="false" customHeight="true" outlineLevel="0" collapsed="false">
      <c r="A73" s="17" t="s">
        <v>720</v>
      </c>
      <c r="B73" s="14" t="s">
        <v>1071</v>
      </c>
      <c r="C73" s="70" t="n">
        <f aca="false">'Effort - Website'!G46</f>
        <v>29</v>
      </c>
      <c r="D73" s="74" t="n">
        <v>1</v>
      </c>
      <c r="E73" s="26" t="n">
        <f aca="false">ROUND(C73*D73,0)</f>
        <v>29</v>
      </c>
      <c r="F73" s="19"/>
    </row>
    <row r="74" customFormat="false" ht="15" hidden="false" customHeight="true" outlineLevel="0" collapsed="false">
      <c r="A74" s="17" t="s">
        <v>725</v>
      </c>
      <c r="B74" s="14" t="s">
        <v>1072</v>
      </c>
      <c r="C74" s="70" t="n">
        <f aca="false">'Effort - Website'!G47</f>
        <v>21</v>
      </c>
      <c r="D74" s="74" t="n">
        <v>1</v>
      </c>
      <c r="E74" s="26" t="n">
        <f aca="false">ROUND(C74*D74,0)</f>
        <v>21</v>
      </c>
      <c r="F74" s="19"/>
    </row>
    <row r="75" customFormat="false" ht="15" hidden="false" customHeight="true" outlineLevel="0" collapsed="false">
      <c r="A75" s="17" t="s">
        <v>728</v>
      </c>
      <c r="B75" s="14" t="s">
        <v>1073</v>
      </c>
      <c r="C75" s="70" t="n">
        <f aca="false">'Effort - Website'!G48</f>
        <v>47</v>
      </c>
      <c r="D75" s="74" t="n">
        <v>1</v>
      </c>
      <c r="E75" s="26" t="n">
        <f aca="false">ROUND(C75*D75,0)</f>
        <v>47</v>
      </c>
      <c r="F75" s="19"/>
    </row>
    <row r="76" customFormat="false" ht="15" hidden="false" customHeight="true" outlineLevel="0" collapsed="false">
      <c r="A76" s="17" t="s">
        <v>803</v>
      </c>
      <c r="B76" s="14" t="s">
        <v>1075</v>
      </c>
      <c r="C76" s="70" t="n">
        <f aca="false">'Effort - Website'!G49</f>
        <v>25</v>
      </c>
      <c r="D76" s="74" t="n">
        <v>1</v>
      </c>
      <c r="E76" s="26" t="n">
        <f aca="false">ROUND(C76*D76,0)</f>
        <v>25</v>
      </c>
      <c r="F76" s="19"/>
    </row>
    <row r="77" customFormat="false" ht="15" hidden="false" customHeight="true" outlineLevel="0" collapsed="false">
      <c r="A77" s="17" t="s">
        <v>804</v>
      </c>
      <c r="B77" s="14" t="s">
        <v>1076</v>
      </c>
      <c r="C77" s="70" t="n">
        <f aca="false">'Effort - Website'!G50</f>
        <v>19</v>
      </c>
      <c r="D77" s="74" t="n">
        <v>1</v>
      </c>
      <c r="E77" s="26" t="n">
        <f aca="false">ROUND(C77*D77,0)</f>
        <v>19</v>
      </c>
      <c r="F77" s="19"/>
    </row>
    <row r="78" customFormat="false" ht="15" hidden="false" customHeight="true" outlineLevel="0" collapsed="false">
      <c r="A78" s="17" t="s">
        <v>1077</v>
      </c>
      <c r="B78" s="14" t="s">
        <v>1078</v>
      </c>
      <c r="C78" s="70" t="n">
        <f aca="false">'Effort - Website'!G51</f>
        <v>19</v>
      </c>
      <c r="D78" s="74" t="n">
        <v>1</v>
      </c>
      <c r="E78" s="26" t="n">
        <f aca="false">ROUND(C78*D78,0)</f>
        <v>19</v>
      </c>
      <c r="F78" s="19"/>
    </row>
    <row r="79" customFormat="false" ht="15" hidden="false" customHeight="true" outlineLevel="0" collapsed="false">
      <c r="A79" s="17" t="s">
        <v>1083</v>
      </c>
      <c r="B79" s="14" t="s">
        <v>1084</v>
      </c>
      <c r="C79" s="70" t="n">
        <f aca="false">'Effort - Website'!G55</f>
        <v>31</v>
      </c>
      <c r="D79" s="75" t="n">
        <v>0.35</v>
      </c>
      <c r="E79" s="26" t="n">
        <f aca="false">ROUND(C79*D79,0)</f>
        <v>11</v>
      </c>
      <c r="F79" s="19" t="s">
        <v>1269</v>
      </c>
    </row>
    <row r="80" customFormat="false" ht="23.25" hidden="false" customHeight="true" outlineLevel="0" collapsed="false">
      <c r="A80" s="17" t="s">
        <v>1086</v>
      </c>
      <c r="B80" s="14" t="s">
        <v>1087</v>
      </c>
      <c r="C80" s="70" t="n">
        <f aca="false">'Effort - Website'!G56</f>
        <v>26</v>
      </c>
      <c r="D80" s="74" t="n">
        <v>1</v>
      </c>
      <c r="E80" s="26" t="n">
        <f aca="false">ROUND(C80*D80,0)</f>
        <v>26</v>
      </c>
      <c r="F80" s="19"/>
    </row>
    <row r="81" customFormat="false" ht="15" hidden="false" customHeight="true" outlineLevel="0" collapsed="false">
      <c r="A81" s="17" t="s">
        <v>1090</v>
      </c>
      <c r="B81" s="14" t="s">
        <v>1091</v>
      </c>
      <c r="C81" s="70" t="n">
        <f aca="false">'Effort - Website'!G57</f>
        <v>36</v>
      </c>
      <c r="D81" s="75" t="n">
        <v>0.3</v>
      </c>
      <c r="E81" s="26" t="n">
        <f aca="false">ROUND(C81*D81,0)</f>
        <v>11</v>
      </c>
      <c r="F81" s="19" t="s">
        <v>1270</v>
      </c>
    </row>
    <row r="82" customFormat="false" ht="15" hidden="false" customHeight="true" outlineLevel="0" collapsed="false">
      <c r="A82" s="17" t="s">
        <v>1093</v>
      </c>
      <c r="B82" s="14" t="s">
        <v>1094</v>
      </c>
      <c r="C82" s="70" t="n">
        <f aca="false">'Effort - Website'!G58</f>
        <v>21</v>
      </c>
      <c r="D82" s="75" t="n">
        <v>0.35</v>
      </c>
      <c r="E82" s="26" t="n">
        <f aca="false">ROUND(C82*D82,0)</f>
        <v>7</v>
      </c>
      <c r="F82" s="19" t="s">
        <v>1271</v>
      </c>
    </row>
    <row r="83" customFormat="false" ht="15" hidden="false" customHeight="true" outlineLevel="0" collapsed="false">
      <c r="A83" s="17" t="s">
        <v>1096</v>
      </c>
      <c r="B83" s="14" t="s">
        <v>1097</v>
      </c>
      <c r="C83" s="70" t="n">
        <f aca="false">'Effort - Website'!G59</f>
        <v>31</v>
      </c>
      <c r="D83" s="75" t="n">
        <v>0.4</v>
      </c>
      <c r="E83" s="26" t="n">
        <f aca="false">ROUND(C83*D83,0)</f>
        <v>12</v>
      </c>
      <c r="F83" s="19" t="s">
        <v>1272</v>
      </c>
    </row>
    <row r="84" customFormat="false" ht="23.25" hidden="false" customHeight="true" outlineLevel="0" collapsed="false">
      <c r="A84" s="17" t="s">
        <v>1099</v>
      </c>
      <c r="B84" s="14" t="s">
        <v>1100</v>
      </c>
      <c r="C84" s="70" t="n">
        <f aca="false">'Effort - Website'!G60</f>
        <v>26</v>
      </c>
      <c r="D84" s="75" t="n">
        <v>0.35</v>
      </c>
      <c r="E84" s="26" t="n">
        <f aca="false">ROUND(C84*D84,0)</f>
        <v>9</v>
      </c>
      <c r="F84" s="19" t="s">
        <v>1273</v>
      </c>
    </row>
    <row r="85" customFormat="false" ht="15" hidden="false" customHeight="true" outlineLevel="0" collapsed="false">
      <c r="A85" s="17" t="s">
        <v>1102</v>
      </c>
      <c r="B85" s="14" t="s">
        <v>1103</v>
      </c>
      <c r="C85" s="70" t="n">
        <f aca="false">'Effort - Website'!G61</f>
        <v>19</v>
      </c>
      <c r="D85" s="75" t="n">
        <v>0.3</v>
      </c>
      <c r="E85" s="26" t="n">
        <f aca="false">ROUND(C85*D85,0)</f>
        <v>6</v>
      </c>
      <c r="F85" s="19" t="s">
        <v>1266</v>
      </c>
    </row>
    <row r="86" customFormat="false" ht="15" hidden="false" customHeight="true" outlineLevel="0" collapsed="false">
      <c r="A86" s="17" t="s">
        <v>1105</v>
      </c>
      <c r="B86" s="14" t="s">
        <v>1106</v>
      </c>
      <c r="C86" s="70" t="n">
        <f aca="false">'Effort - Website'!G62</f>
        <v>23</v>
      </c>
      <c r="D86" s="75" t="n">
        <v>0.6</v>
      </c>
      <c r="E86" s="26" t="n">
        <f aca="false">ROUND(C86*D86,0)</f>
        <v>14</v>
      </c>
      <c r="F86" s="19" t="s">
        <v>1266</v>
      </c>
    </row>
    <row r="87" customFormat="false" ht="23.25" hidden="false" customHeight="true" outlineLevel="0" collapsed="false">
      <c r="A87" s="17" t="s">
        <v>1108</v>
      </c>
      <c r="B87" s="14" t="s">
        <v>1109</v>
      </c>
      <c r="C87" s="70" t="n">
        <f aca="false">'Effort - Website'!G63</f>
        <v>36</v>
      </c>
      <c r="D87" s="75" t="n">
        <v>0.15</v>
      </c>
      <c r="E87" s="26" t="n">
        <f aca="false">ROUND(C87*D87,0)</f>
        <v>5</v>
      </c>
      <c r="F87" s="19" t="s">
        <v>1274</v>
      </c>
    </row>
    <row r="88" customFormat="false" ht="15" hidden="false" customHeight="true" outlineLevel="0" collapsed="false">
      <c r="A88" s="17" t="s">
        <v>1114</v>
      </c>
      <c r="B88" s="14" t="s">
        <v>1115</v>
      </c>
      <c r="C88" s="70" t="n">
        <f aca="false">'Effort - Website'!G67</f>
        <v>21</v>
      </c>
      <c r="D88" s="75" t="n">
        <v>0.7</v>
      </c>
      <c r="E88" s="26" t="n">
        <f aca="false">ROUND(C88*D88,0)</f>
        <v>15</v>
      </c>
      <c r="F88" s="19" t="s">
        <v>1266</v>
      </c>
    </row>
    <row r="89" customFormat="false" ht="15" hidden="false" customHeight="true" outlineLevel="0" collapsed="false">
      <c r="A89" s="17" t="s">
        <v>1117</v>
      </c>
      <c r="B89" s="14" t="s">
        <v>1118</v>
      </c>
      <c r="C89" s="70" t="n">
        <f aca="false">'Effort - Website'!G68</f>
        <v>17</v>
      </c>
      <c r="D89" s="75" t="n">
        <v>0.8</v>
      </c>
      <c r="E89" s="26" t="n">
        <f aca="false">ROUND(C89*D89,0)</f>
        <v>14</v>
      </c>
      <c r="F89" s="19" t="s">
        <v>1266</v>
      </c>
    </row>
    <row r="90" customFormat="false" ht="15" hidden="false" customHeight="true" outlineLevel="0" collapsed="false">
      <c r="A90" s="17" t="s">
        <v>1120</v>
      </c>
      <c r="B90" s="14" t="s">
        <v>1121</v>
      </c>
      <c r="C90" s="70" t="n">
        <f aca="false">'Effort - Website'!G69</f>
        <v>36</v>
      </c>
      <c r="D90" s="74" t="n">
        <v>1</v>
      </c>
      <c r="E90" s="26" t="n">
        <f aca="false">ROUND(C90*D90,0)</f>
        <v>36</v>
      </c>
      <c r="F90" s="19"/>
    </row>
    <row r="91" customFormat="false" ht="23.25" hidden="false" customHeight="true" outlineLevel="0" collapsed="false">
      <c r="A91" s="17" t="s">
        <v>1123</v>
      </c>
      <c r="B91" s="14" t="s">
        <v>1124</v>
      </c>
      <c r="C91" s="70" t="n">
        <f aca="false">'Effort - Website'!G70</f>
        <v>29</v>
      </c>
      <c r="D91" s="74" t="n">
        <v>1</v>
      </c>
      <c r="E91" s="26" t="n">
        <f aca="false">ROUND(C91*D91,0)</f>
        <v>29</v>
      </c>
      <c r="F91" s="19"/>
    </row>
    <row r="92" customFormat="false" ht="23.25" hidden="false" customHeight="true" outlineLevel="0" collapsed="false">
      <c r="A92" s="17" t="s">
        <v>1127</v>
      </c>
      <c r="B92" s="14" t="s">
        <v>1128</v>
      </c>
      <c r="C92" s="70" t="n">
        <f aca="false">'Effort - Website'!G71</f>
        <v>31</v>
      </c>
      <c r="D92" s="74" t="n">
        <v>1</v>
      </c>
      <c r="E92" s="26" t="n">
        <f aca="false">ROUND(C92*D92,0)</f>
        <v>31</v>
      </c>
      <c r="F92" s="19"/>
    </row>
    <row r="93" customFormat="false" ht="15" hidden="false" customHeight="true" outlineLevel="0" collapsed="false">
      <c r="A93" s="17" t="s">
        <v>1130</v>
      </c>
      <c r="B93" s="14" t="s">
        <v>1131</v>
      </c>
      <c r="C93" s="70" t="n">
        <f aca="false">'Effort - Website'!G72</f>
        <v>36</v>
      </c>
      <c r="D93" s="74" t="n">
        <v>1</v>
      </c>
      <c r="E93" s="26" t="n">
        <f aca="false">ROUND(C93*D93,0)</f>
        <v>36</v>
      </c>
      <c r="F93" s="19"/>
    </row>
    <row r="94" customFormat="false" ht="15" hidden="false" customHeight="true" outlineLevel="0" collapsed="false">
      <c r="A94" s="17" t="s">
        <v>577</v>
      </c>
      <c r="B94" s="14" t="s">
        <v>1136</v>
      </c>
      <c r="C94" s="70" t="n">
        <f aca="false">'Effort - Website'!G76</f>
        <v>25</v>
      </c>
      <c r="D94" s="75" t="n">
        <v>0.25</v>
      </c>
      <c r="E94" s="26" t="n">
        <f aca="false">ROUND(C94*D94,0)</f>
        <v>6</v>
      </c>
      <c r="F94" s="19" t="s">
        <v>1275</v>
      </c>
    </row>
    <row r="95" customFormat="false" ht="15" hidden="false" customHeight="true" outlineLevel="0" collapsed="false">
      <c r="A95" s="17" t="s">
        <v>580</v>
      </c>
      <c r="B95" s="14" t="s">
        <v>1138</v>
      </c>
      <c r="C95" s="70" t="n">
        <f aca="false">'Effort - Website'!G77</f>
        <v>36</v>
      </c>
      <c r="D95" s="75" t="n">
        <v>0.2</v>
      </c>
      <c r="E95" s="26" t="n">
        <f aca="false">ROUND(C95*D95,0)</f>
        <v>7</v>
      </c>
      <c r="F95" s="19" t="s">
        <v>1276</v>
      </c>
    </row>
    <row r="96" customFormat="false" ht="15" hidden="false" customHeight="true" outlineLevel="0" collapsed="false">
      <c r="A96" s="17" t="s">
        <v>583</v>
      </c>
      <c r="B96" s="14" t="s">
        <v>1140</v>
      </c>
      <c r="C96" s="70" t="n">
        <f aca="false">'Effort - Website'!G78</f>
        <v>16</v>
      </c>
      <c r="D96" s="75" t="n">
        <v>0.6</v>
      </c>
      <c r="E96" s="26" t="n">
        <f aca="false">ROUND(C96*D96,0)</f>
        <v>10</v>
      </c>
      <c r="F96" s="19" t="s">
        <v>1266</v>
      </c>
    </row>
    <row r="97" customFormat="false" ht="15" hidden="false" customHeight="true" outlineLevel="0" collapsed="false">
      <c r="A97" s="17" t="s">
        <v>586</v>
      </c>
      <c r="B97" s="14" t="s">
        <v>1142</v>
      </c>
      <c r="C97" s="70" t="n">
        <f aca="false">'Effort - Website'!G79</f>
        <v>13</v>
      </c>
      <c r="D97" s="75" t="n">
        <v>0.2</v>
      </c>
      <c r="E97" s="26" t="n">
        <f aca="false">ROUND(C97*D97,0)</f>
        <v>3</v>
      </c>
      <c r="F97" s="19" t="s">
        <v>1277</v>
      </c>
    </row>
    <row r="98" customFormat="false" ht="15" hidden="false" customHeight="true" outlineLevel="0" collapsed="false">
      <c r="A98" s="17" t="s">
        <v>629</v>
      </c>
      <c r="B98" s="14" t="s">
        <v>1147</v>
      </c>
      <c r="C98" s="70" t="n">
        <f aca="false">'Effort - Website'!G83</f>
        <v>31</v>
      </c>
      <c r="D98" s="74" t="n">
        <v>1</v>
      </c>
      <c r="E98" s="26" t="n">
        <f aca="false">ROUND(C98*D98,0)</f>
        <v>31</v>
      </c>
      <c r="F98" s="19"/>
    </row>
    <row r="99" customFormat="false" ht="15" hidden="false" customHeight="true" outlineLevel="0" collapsed="false">
      <c r="A99" s="17" t="s">
        <v>632</v>
      </c>
      <c r="B99" s="14" t="s">
        <v>1149</v>
      </c>
      <c r="C99" s="70" t="n">
        <f aca="false">'Effort - Website'!G84</f>
        <v>27</v>
      </c>
      <c r="D99" s="74" t="n">
        <v>1</v>
      </c>
      <c r="E99" s="26" t="n">
        <f aca="false">ROUND(C99*D99,0)</f>
        <v>27</v>
      </c>
      <c r="F99" s="19"/>
    </row>
    <row r="100" customFormat="false" ht="15" hidden="false" customHeight="true" outlineLevel="0" collapsed="false">
      <c r="A100" s="17" t="s">
        <v>635</v>
      </c>
      <c r="B100" s="14" t="s">
        <v>1152</v>
      </c>
      <c r="C100" s="70" t="n">
        <f aca="false">'Effort - Website'!G85</f>
        <v>19</v>
      </c>
      <c r="D100" s="74" t="n">
        <v>1</v>
      </c>
      <c r="E100" s="26" t="n">
        <f aca="false">ROUND(C100*D100,0)</f>
        <v>19</v>
      </c>
      <c r="F100" s="19"/>
    </row>
    <row r="101" customFormat="false" ht="15" hidden="false" customHeight="true" outlineLevel="0" collapsed="false">
      <c r="A101" s="17" t="s">
        <v>638</v>
      </c>
      <c r="B101" s="14" t="s">
        <v>1154</v>
      </c>
      <c r="C101" s="70" t="n">
        <f aca="false">'Effort - Website'!G86</f>
        <v>31</v>
      </c>
      <c r="D101" s="74" t="n">
        <v>1</v>
      </c>
      <c r="E101" s="26" t="n">
        <f aca="false">ROUND(C101*D101,0)</f>
        <v>31</v>
      </c>
      <c r="F101" s="19"/>
    </row>
    <row r="102" customFormat="false" ht="23.25" hidden="false" customHeight="true" outlineLevel="0" collapsed="false">
      <c r="A102" s="17" t="s">
        <v>641</v>
      </c>
      <c r="B102" s="14" t="s">
        <v>1156</v>
      </c>
      <c r="C102" s="70" t="n">
        <f aca="false">'Effort - Website'!G87</f>
        <v>29</v>
      </c>
      <c r="D102" s="74" t="n">
        <v>1</v>
      </c>
      <c r="E102" s="26" t="n">
        <f aca="false">ROUND(C102*D102,0)</f>
        <v>29</v>
      </c>
      <c r="F102" s="19"/>
    </row>
    <row r="103" customFormat="false" ht="15" hidden="false" customHeight="true" outlineLevel="0" collapsed="false">
      <c r="A103" s="28"/>
      <c r="B103" s="29" t="s">
        <v>1254</v>
      </c>
      <c r="C103" s="30" t="n">
        <f aca="false">SUM(C5:C102)</f>
        <v>2613</v>
      </c>
      <c r="D103" s="28"/>
      <c r="E103" s="30" t="n">
        <f aca="false">SUM(E5:E102)</f>
        <v>2305</v>
      </c>
      <c r="F103" s="28"/>
    </row>
    <row r="105" customFormat="false" ht="15" hidden="false" customHeight="true" outlineLevel="0" collapsed="false">
      <c r="B105" s="13" t="s">
        <v>1278</v>
      </c>
      <c r="C105" s="73" t="n">
        <f aca="false">IFERROR(E103/C103,0)</f>
        <v>0.88212782242633</v>
      </c>
    </row>
    <row r="106" customFormat="false" ht="15" hidden="false" customHeight="true" outlineLevel="0" collapsed="false">
      <c r="B106" s="13" t="s">
        <v>1279</v>
      </c>
      <c r="C106" s="26" t="n">
        <f aca="false">ROUND((477+404)*C105,0)</f>
        <v>777</v>
      </c>
    </row>
    <row r="107" customFormat="false" ht="15" hidden="false" customHeight="true" outlineLevel="0" collapsed="false">
      <c r="A107" s="31"/>
      <c r="B107" s="32" t="s">
        <v>1280</v>
      </c>
      <c r="C107" s="33" t="n">
        <f aca="false">ROUND(E103+C106,0)</f>
        <v>3082</v>
      </c>
      <c r="D107" s="31"/>
      <c r="E107" s="31"/>
      <c r="F107" s="31"/>
    </row>
    <row r="109" customFormat="false" ht="42" hidden="false" customHeight="true" outlineLevel="0" collapsed="false">
      <c r="B109" s="13" t="s">
        <v>1281</v>
      </c>
      <c r="C109" s="19" t="s">
        <v>1282</v>
      </c>
      <c r="D109" s="19"/>
      <c r="E109" s="19"/>
      <c r="F109" s="19"/>
    </row>
  </sheetData>
  <sheetProtection sheet="true"/>
  <mergeCells count="1">
    <mergeCell ref="C109:F109"/>
  </mergeCells>
  <dataValidations count="1">
    <dataValidation allowBlank="true" error="A factor or probability must lie between 0 and 1." errorStyle="stop" errorTitle="Out of range" operator="between" prompt="A factor or probability must lie between 0 and 1." promptTitle="Input cell" showDropDown="false" showErrorMessage="true" showInputMessage="false" sqref="D5:D102"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6"/>
    <col collapsed="false" customWidth="true" hidden="false" outlineLevel="0" max="3" min="3" style="1" width="11"/>
    <col collapsed="false" customWidth="true" hidden="false" outlineLevel="0" max="4" min="4" style="1" width="10"/>
    <col collapsed="false" customWidth="true" hidden="false" outlineLevel="0" max="5" min="5" style="1" width="11"/>
    <col collapsed="false" customWidth="true" hidden="false" outlineLevel="0" max="6" min="6" style="1" width="58"/>
  </cols>
  <sheetData>
    <row r="1" customFormat="false" ht="17.25" hidden="false" customHeight="true" outlineLevel="0" collapsed="false">
      <c r="A1" s="2" t="s">
        <v>1283</v>
      </c>
    </row>
    <row r="2" customFormat="false" ht="15" hidden="false" customHeight="true" outlineLevel="0" collapsed="false">
      <c r="A2" s="3" t="s">
        <v>1284</v>
      </c>
    </row>
    <row r="4" customFormat="false" ht="30" hidden="false" customHeight="true" outlineLevel="0" collapsed="false">
      <c r="A4" s="16" t="s">
        <v>95</v>
      </c>
      <c r="B4" s="16" t="s">
        <v>1285</v>
      </c>
      <c r="C4" s="16" t="s">
        <v>566</v>
      </c>
      <c r="D4" s="16" t="s">
        <v>1263</v>
      </c>
      <c r="E4" s="16" t="s">
        <v>1286</v>
      </c>
      <c r="F4" s="16" t="s">
        <v>1287</v>
      </c>
    </row>
    <row r="5" customFormat="false" ht="15" hidden="false" customHeight="true" outlineLevel="0" collapsed="false">
      <c r="A5" s="17" t="s">
        <v>570</v>
      </c>
      <c r="B5" s="14" t="s">
        <v>839</v>
      </c>
      <c r="C5" s="70" t="n">
        <f aca="false">'Effort - Mobile &amp; IPRS'!G6</f>
        <v>33</v>
      </c>
      <c r="D5" s="74" t="n">
        <v>1</v>
      </c>
      <c r="E5" s="26" t="n">
        <f aca="false">ROUND(C5*D5,0)</f>
        <v>33</v>
      </c>
      <c r="F5" s="19"/>
    </row>
    <row r="6" customFormat="false" ht="23.25" hidden="false" customHeight="true" outlineLevel="0" collapsed="false">
      <c r="A6" s="17" t="s">
        <v>573</v>
      </c>
      <c r="B6" s="14" t="s">
        <v>842</v>
      </c>
      <c r="C6" s="70" t="n">
        <f aca="false">'Effort - Mobile &amp; IPRS'!G7</f>
        <v>29</v>
      </c>
      <c r="D6" s="74" t="n">
        <v>1</v>
      </c>
      <c r="E6" s="26" t="n">
        <f aca="false">ROUND(C6*D6,0)</f>
        <v>29</v>
      </c>
      <c r="F6" s="19"/>
    </row>
    <row r="7" customFormat="false" ht="15" hidden="false" customHeight="true" outlineLevel="0" collapsed="false">
      <c r="A7" s="17" t="s">
        <v>753</v>
      </c>
      <c r="B7" s="14" t="s">
        <v>847</v>
      </c>
      <c r="C7" s="70" t="n">
        <f aca="false">'Effort - Mobile &amp; IPRS'!G11</f>
        <v>27</v>
      </c>
      <c r="D7" s="74" t="n">
        <v>1</v>
      </c>
      <c r="E7" s="26" t="n">
        <f aca="false">ROUND(C7*D7,0)</f>
        <v>27</v>
      </c>
      <c r="F7" s="19"/>
    </row>
    <row r="8" customFormat="false" ht="15" hidden="false" customHeight="true" outlineLevel="0" collapsed="false">
      <c r="A8" s="17" t="s">
        <v>756</v>
      </c>
      <c r="B8" s="14" t="s">
        <v>850</v>
      </c>
      <c r="C8" s="70" t="n">
        <f aca="false">'Effort - Mobile &amp; IPRS'!G12</f>
        <v>37</v>
      </c>
      <c r="D8" s="74" t="n">
        <v>1</v>
      </c>
      <c r="E8" s="26" t="n">
        <f aca="false">ROUND(C8*D8,0)</f>
        <v>37</v>
      </c>
      <c r="F8" s="19"/>
    </row>
    <row r="9" customFormat="false" ht="15" hidden="false" customHeight="true" outlineLevel="0" collapsed="false">
      <c r="A9" s="17" t="s">
        <v>759</v>
      </c>
      <c r="B9" s="14" t="s">
        <v>851</v>
      </c>
      <c r="C9" s="70" t="n">
        <f aca="false">'Effort - Mobile &amp; IPRS'!G13</f>
        <v>29</v>
      </c>
      <c r="D9" s="74" t="n">
        <v>1</v>
      </c>
      <c r="E9" s="26" t="n">
        <f aca="false">ROUND(C9*D9,0)</f>
        <v>29</v>
      </c>
      <c r="F9" s="19"/>
    </row>
    <row r="10" customFormat="false" ht="15" hidden="false" customHeight="true" outlineLevel="0" collapsed="false">
      <c r="A10" s="17" t="s">
        <v>603</v>
      </c>
      <c r="B10" s="14" t="s">
        <v>856</v>
      </c>
      <c r="C10" s="70" t="n">
        <f aca="false">'Effort - Mobile &amp; IPRS'!G17</f>
        <v>35</v>
      </c>
      <c r="D10" s="74" t="n">
        <v>1</v>
      </c>
      <c r="E10" s="26" t="n">
        <f aca="false">ROUND(C10*D10,0)</f>
        <v>35</v>
      </c>
      <c r="F10" s="19"/>
    </row>
    <row r="11" customFormat="false" ht="23.25" hidden="false" customHeight="true" outlineLevel="0" collapsed="false">
      <c r="A11" s="17" t="s">
        <v>606</v>
      </c>
      <c r="B11" s="14" t="s">
        <v>857</v>
      </c>
      <c r="C11" s="70" t="n">
        <f aca="false">'Effort - Mobile &amp; IPRS'!G18</f>
        <v>31</v>
      </c>
      <c r="D11" s="74" t="n">
        <v>1</v>
      </c>
      <c r="E11" s="26" t="n">
        <f aca="false">ROUND(C11*D11,0)</f>
        <v>31</v>
      </c>
      <c r="F11" s="19"/>
    </row>
    <row r="12" customFormat="false" ht="23.25" hidden="false" customHeight="true" outlineLevel="0" collapsed="false">
      <c r="A12" s="17" t="s">
        <v>609</v>
      </c>
      <c r="B12" s="14" t="s">
        <v>860</v>
      </c>
      <c r="C12" s="70" t="n">
        <f aca="false">'Effort - Mobile &amp; IPRS'!G19</f>
        <v>41</v>
      </c>
      <c r="D12" s="75" t="n">
        <v>0.3</v>
      </c>
      <c r="E12" s="26" t="n">
        <f aca="false">ROUND(C12*D12,0)</f>
        <v>12</v>
      </c>
      <c r="F12" s="19" t="s">
        <v>1288</v>
      </c>
    </row>
    <row r="13" customFormat="false" ht="15" hidden="false" customHeight="true" outlineLevel="0" collapsed="false">
      <c r="A13" s="17" t="s">
        <v>808</v>
      </c>
      <c r="B13" s="14" t="s">
        <v>863</v>
      </c>
      <c r="C13" s="70" t="n">
        <f aca="false">'Effort - Mobile &amp; IPRS'!G20</f>
        <v>23</v>
      </c>
      <c r="D13" s="75" t="n">
        <v>0.3</v>
      </c>
      <c r="E13" s="26" t="n">
        <f aca="false">ROUND(C13*D13,0)</f>
        <v>7</v>
      </c>
      <c r="F13" s="19" t="s">
        <v>1288</v>
      </c>
    </row>
    <row r="14" customFormat="false" ht="15" hidden="false" customHeight="true" outlineLevel="0" collapsed="false">
      <c r="A14" s="17" t="s">
        <v>866</v>
      </c>
      <c r="B14" s="14" t="s">
        <v>867</v>
      </c>
      <c r="C14" s="70" t="n">
        <f aca="false">'Effort - Mobile &amp; IPRS'!G21</f>
        <v>31</v>
      </c>
      <c r="D14" s="74" t="n">
        <v>1</v>
      </c>
      <c r="E14" s="26" t="n">
        <f aca="false">ROUND(C14*D14,0)</f>
        <v>31</v>
      </c>
      <c r="F14" s="19"/>
    </row>
    <row r="15" customFormat="false" ht="15" hidden="false" customHeight="true" outlineLevel="0" collapsed="false">
      <c r="A15" s="17" t="s">
        <v>869</v>
      </c>
      <c r="B15" s="14" t="s">
        <v>870</v>
      </c>
      <c r="C15" s="70" t="n">
        <f aca="false">'Effort - Mobile &amp; IPRS'!G22</f>
        <v>46</v>
      </c>
      <c r="D15" s="74" t="n">
        <v>1</v>
      </c>
      <c r="E15" s="26" t="n">
        <f aca="false">ROUND(C15*D15,0)</f>
        <v>46</v>
      </c>
      <c r="F15" s="19"/>
    </row>
    <row r="16" customFormat="false" ht="23.25" hidden="false" customHeight="true" outlineLevel="0" collapsed="false">
      <c r="A16" s="17" t="s">
        <v>873</v>
      </c>
      <c r="B16" s="14" t="s">
        <v>874</v>
      </c>
      <c r="C16" s="70" t="n">
        <f aca="false">'Effort - Mobile &amp; IPRS'!G23</f>
        <v>31</v>
      </c>
      <c r="D16" s="74" t="n">
        <v>1</v>
      </c>
      <c r="E16" s="26" t="n">
        <f aca="false">ROUND(C16*D16,0)</f>
        <v>31</v>
      </c>
      <c r="F16" s="19"/>
    </row>
    <row r="17" customFormat="false" ht="15" hidden="false" customHeight="true" outlineLevel="0" collapsed="false">
      <c r="A17" s="17" t="s">
        <v>877</v>
      </c>
      <c r="B17" s="14" t="s">
        <v>878</v>
      </c>
      <c r="C17" s="70" t="n">
        <f aca="false">'Effort - Mobile &amp; IPRS'!G24</f>
        <v>19</v>
      </c>
      <c r="D17" s="74" t="n">
        <v>1</v>
      </c>
      <c r="E17" s="26" t="n">
        <f aca="false">ROUND(C17*D17,0)</f>
        <v>19</v>
      </c>
      <c r="F17" s="19"/>
    </row>
    <row r="18" customFormat="false" ht="15" hidden="false" customHeight="true" outlineLevel="0" collapsed="false">
      <c r="A18" s="17" t="s">
        <v>880</v>
      </c>
      <c r="B18" s="14" t="s">
        <v>881</v>
      </c>
      <c r="C18" s="70" t="n">
        <f aca="false">'Effort - Mobile &amp; IPRS'!G25</f>
        <v>21</v>
      </c>
      <c r="D18" s="74" t="n">
        <v>1</v>
      </c>
      <c r="E18" s="26" t="n">
        <f aca="false">ROUND(C18*D18,0)</f>
        <v>21</v>
      </c>
      <c r="F18" s="19"/>
    </row>
    <row r="19" customFormat="false" ht="23.25" hidden="false" customHeight="true" outlineLevel="0" collapsed="false">
      <c r="A19" s="17" t="s">
        <v>883</v>
      </c>
      <c r="B19" s="14" t="s">
        <v>884</v>
      </c>
      <c r="C19" s="70" t="n">
        <f aca="false">'Effort - Mobile &amp; IPRS'!G26</f>
        <v>26</v>
      </c>
      <c r="D19" s="74" t="n">
        <v>1</v>
      </c>
      <c r="E19" s="26" t="n">
        <f aca="false">ROUND(C19*D19,0)</f>
        <v>26</v>
      </c>
      <c r="F19" s="19"/>
    </row>
    <row r="20" customFormat="false" ht="23.25" hidden="false" customHeight="true" outlineLevel="0" collapsed="false">
      <c r="A20" s="17" t="s">
        <v>885</v>
      </c>
      <c r="B20" s="14" t="s">
        <v>886</v>
      </c>
      <c r="C20" s="70" t="n">
        <f aca="false">'Effort - Mobile &amp; IPRS'!G27</f>
        <v>21</v>
      </c>
      <c r="D20" s="74" t="n">
        <v>1</v>
      </c>
      <c r="E20" s="26" t="n">
        <f aca="false">ROUND(C20*D20,0)</f>
        <v>21</v>
      </c>
      <c r="F20" s="19"/>
    </row>
    <row r="21" customFormat="false" ht="23.25" hidden="false" customHeight="true" outlineLevel="0" collapsed="false">
      <c r="A21" s="17" t="s">
        <v>888</v>
      </c>
      <c r="B21" s="14" t="s">
        <v>889</v>
      </c>
      <c r="C21" s="70" t="n">
        <f aca="false">'Effort - Mobile &amp; IPRS'!G28</f>
        <v>21</v>
      </c>
      <c r="D21" s="74" t="n">
        <v>1</v>
      </c>
      <c r="E21" s="26" t="n">
        <f aca="false">ROUND(C21*D21,0)</f>
        <v>21</v>
      </c>
      <c r="F21" s="19"/>
    </row>
    <row r="22" customFormat="false" ht="15" hidden="false" customHeight="true" outlineLevel="0" collapsed="false">
      <c r="A22" s="17" t="s">
        <v>890</v>
      </c>
      <c r="B22" s="14" t="s">
        <v>891</v>
      </c>
      <c r="C22" s="70" t="n">
        <f aca="false">'Effort - Mobile &amp; IPRS'!G29</f>
        <v>13</v>
      </c>
      <c r="D22" s="74" t="n">
        <v>1</v>
      </c>
      <c r="E22" s="26" t="n">
        <f aca="false">ROUND(C22*D22,0)</f>
        <v>13</v>
      </c>
      <c r="F22" s="19"/>
    </row>
    <row r="23" customFormat="false" ht="23.25" hidden="false" customHeight="true" outlineLevel="0" collapsed="false">
      <c r="A23" s="17" t="s">
        <v>99</v>
      </c>
      <c r="B23" s="14" t="s">
        <v>896</v>
      </c>
      <c r="C23" s="70" t="n">
        <f aca="false">'Effort - Mobile &amp; IPRS'!G33</f>
        <v>35</v>
      </c>
      <c r="D23" s="75" t="n">
        <v>0.3</v>
      </c>
      <c r="E23" s="26" t="n">
        <f aca="false">ROUND(C23*D23,0)</f>
        <v>11</v>
      </c>
      <c r="F23" s="19" t="s">
        <v>1288</v>
      </c>
    </row>
    <row r="24" customFormat="false" ht="15" hidden="false" customHeight="true" outlineLevel="0" collapsed="false">
      <c r="A24" s="17" t="s">
        <v>103</v>
      </c>
      <c r="B24" s="14" t="s">
        <v>897</v>
      </c>
      <c r="C24" s="70" t="n">
        <f aca="false">'Effort - Mobile &amp; IPRS'!G34</f>
        <v>33</v>
      </c>
      <c r="D24" s="75" t="n">
        <v>0.12</v>
      </c>
      <c r="E24" s="26" t="n">
        <f aca="false">ROUND(C24*D24,0)</f>
        <v>4</v>
      </c>
      <c r="F24" s="19" t="s">
        <v>1289</v>
      </c>
    </row>
    <row r="25" customFormat="false" ht="15" hidden="false" customHeight="true" outlineLevel="0" collapsed="false">
      <c r="A25" s="17" t="s">
        <v>107</v>
      </c>
      <c r="B25" s="14" t="s">
        <v>898</v>
      </c>
      <c r="C25" s="70" t="n">
        <f aca="false">'Effort - Mobile &amp; IPRS'!G35</f>
        <v>25</v>
      </c>
      <c r="D25" s="75" t="n">
        <v>0.1</v>
      </c>
      <c r="E25" s="26" t="n">
        <f aca="false">ROUND(C25*D25,0)</f>
        <v>3</v>
      </c>
      <c r="F25" s="19" t="s">
        <v>1290</v>
      </c>
    </row>
    <row r="26" customFormat="false" ht="23.25" hidden="false" customHeight="true" outlineLevel="0" collapsed="false">
      <c r="A26" s="17" t="s">
        <v>618</v>
      </c>
      <c r="B26" s="14" t="s">
        <v>899</v>
      </c>
      <c r="C26" s="70" t="n">
        <f aca="false">'Effort - Mobile &amp; IPRS'!G36</f>
        <v>25</v>
      </c>
      <c r="D26" s="75" t="n">
        <v>0.15</v>
      </c>
      <c r="E26" s="26" t="n">
        <f aca="false">ROUND(C26*D26,0)</f>
        <v>4</v>
      </c>
      <c r="F26" s="19" t="s">
        <v>1291</v>
      </c>
    </row>
    <row r="27" customFormat="false" ht="23.25" hidden="false" customHeight="true" outlineLevel="0" collapsed="false">
      <c r="A27" s="17" t="s">
        <v>621</v>
      </c>
      <c r="B27" s="14" t="s">
        <v>901</v>
      </c>
      <c r="C27" s="70" t="n">
        <f aca="false">'Effort - Mobile &amp; IPRS'!G37</f>
        <v>27</v>
      </c>
      <c r="D27" s="75" t="n">
        <v>0.15</v>
      </c>
      <c r="E27" s="26" t="n">
        <f aca="false">ROUND(C27*D27,0)</f>
        <v>4</v>
      </c>
      <c r="F27" s="19" t="s">
        <v>1292</v>
      </c>
    </row>
    <row r="28" customFormat="false" ht="15" hidden="false" customHeight="true" outlineLevel="0" collapsed="false">
      <c r="A28" s="17" t="s">
        <v>624</v>
      </c>
      <c r="B28" s="14" t="s">
        <v>903</v>
      </c>
      <c r="C28" s="70" t="n">
        <f aca="false">'Effort - Mobile &amp; IPRS'!G38</f>
        <v>41</v>
      </c>
      <c r="D28" s="75" t="n">
        <v>0.15</v>
      </c>
      <c r="E28" s="26" t="n">
        <f aca="false">ROUND(C28*D28,0)</f>
        <v>6</v>
      </c>
      <c r="F28" s="19" t="s">
        <v>1293</v>
      </c>
    </row>
    <row r="29" customFormat="false" ht="15" hidden="false" customHeight="true" outlineLevel="0" collapsed="false">
      <c r="A29" s="17" t="s">
        <v>905</v>
      </c>
      <c r="B29" s="14" t="s">
        <v>906</v>
      </c>
      <c r="C29" s="70" t="n">
        <f aca="false">'Effort - Mobile &amp; IPRS'!G39</f>
        <v>26</v>
      </c>
      <c r="D29" s="75" t="n">
        <v>0.12</v>
      </c>
      <c r="E29" s="26" t="n">
        <f aca="false">ROUND(C29*D29,0)</f>
        <v>3</v>
      </c>
      <c r="F29" s="19" t="s">
        <v>1288</v>
      </c>
    </row>
    <row r="30" customFormat="false" ht="15" hidden="false" customHeight="true" outlineLevel="0" collapsed="false">
      <c r="A30" s="17" t="s">
        <v>907</v>
      </c>
      <c r="B30" s="14" t="s">
        <v>908</v>
      </c>
      <c r="C30" s="70" t="n">
        <f aca="false">'Effort - Mobile &amp; IPRS'!G40</f>
        <v>16</v>
      </c>
      <c r="D30" s="75" t="n">
        <v>0.3</v>
      </c>
      <c r="E30" s="26" t="n">
        <f aca="false">ROUND(C30*D30,0)</f>
        <v>5</v>
      </c>
      <c r="F30" s="19" t="s">
        <v>1288</v>
      </c>
    </row>
    <row r="31" customFormat="false" ht="23.25" hidden="false" customHeight="true" outlineLevel="0" collapsed="false">
      <c r="A31" s="17" t="s">
        <v>909</v>
      </c>
      <c r="B31" s="14" t="s">
        <v>910</v>
      </c>
      <c r="C31" s="70" t="n">
        <f aca="false">'Effort - Mobile &amp; IPRS'!G41</f>
        <v>21</v>
      </c>
      <c r="D31" s="75" t="n">
        <v>0.3</v>
      </c>
      <c r="E31" s="26" t="n">
        <f aca="false">ROUND(C31*D31,0)</f>
        <v>6</v>
      </c>
      <c r="F31" s="19" t="s">
        <v>1288</v>
      </c>
    </row>
    <row r="32" customFormat="false" ht="15" hidden="false" customHeight="true" outlineLevel="0" collapsed="false">
      <c r="A32" s="17" t="s">
        <v>912</v>
      </c>
      <c r="B32" s="14" t="s">
        <v>913</v>
      </c>
      <c r="C32" s="70" t="n">
        <f aca="false">'Effort - Mobile &amp; IPRS'!G42</f>
        <v>21</v>
      </c>
      <c r="D32" s="75" t="n">
        <v>0.35</v>
      </c>
      <c r="E32" s="26" t="n">
        <f aca="false">ROUND(C32*D32,0)</f>
        <v>7</v>
      </c>
      <c r="F32" s="19" t="s">
        <v>1288</v>
      </c>
    </row>
    <row r="33" customFormat="false" ht="15" hidden="false" customHeight="true" outlineLevel="0" collapsed="false">
      <c r="A33" s="17" t="s">
        <v>915</v>
      </c>
      <c r="B33" s="14" t="s">
        <v>916</v>
      </c>
      <c r="C33" s="70" t="n">
        <f aca="false">'Effort - Mobile &amp; IPRS'!G43</f>
        <v>23</v>
      </c>
      <c r="D33" s="75" t="n">
        <v>0.2</v>
      </c>
      <c r="E33" s="26" t="n">
        <f aca="false">ROUND(C33*D33,0)</f>
        <v>5</v>
      </c>
      <c r="F33" s="19" t="s">
        <v>1288</v>
      </c>
    </row>
    <row r="34" customFormat="false" ht="15" hidden="false" customHeight="true" outlineLevel="0" collapsed="false">
      <c r="A34" s="17" t="s">
        <v>918</v>
      </c>
      <c r="B34" s="14" t="s">
        <v>919</v>
      </c>
      <c r="C34" s="70" t="n">
        <f aca="false">'Effort - Mobile &amp; IPRS'!G44</f>
        <v>36</v>
      </c>
      <c r="D34" s="75" t="n">
        <v>0.2</v>
      </c>
      <c r="E34" s="26" t="n">
        <f aca="false">ROUND(C34*D34,0)</f>
        <v>7</v>
      </c>
      <c r="F34" s="19" t="s">
        <v>1288</v>
      </c>
    </row>
    <row r="35" customFormat="false" ht="23.25" hidden="false" customHeight="true" outlineLevel="0" collapsed="false">
      <c r="A35" s="17" t="s">
        <v>920</v>
      </c>
      <c r="B35" s="14" t="s">
        <v>921</v>
      </c>
      <c r="C35" s="70" t="n">
        <f aca="false">'Effort - Mobile &amp; IPRS'!G45</f>
        <v>26</v>
      </c>
      <c r="D35" s="75" t="n">
        <v>0.08</v>
      </c>
      <c r="E35" s="26" t="n">
        <f aca="false">ROUND(C35*D35,0)</f>
        <v>2</v>
      </c>
      <c r="F35" s="19" t="s">
        <v>1294</v>
      </c>
    </row>
    <row r="36" customFormat="false" ht="15" hidden="false" customHeight="true" outlineLevel="0" collapsed="false">
      <c r="A36" s="17" t="s">
        <v>926</v>
      </c>
      <c r="B36" s="14" t="s">
        <v>927</v>
      </c>
      <c r="C36" s="70" t="n">
        <f aca="false">'Effort - Mobile &amp; IPRS'!G49</f>
        <v>72</v>
      </c>
      <c r="D36" s="75" t="n">
        <v>0.35</v>
      </c>
      <c r="E36" s="26" t="n">
        <f aca="false">ROUND(C36*D36,0)</f>
        <v>25</v>
      </c>
      <c r="F36" s="19" t="s">
        <v>1295</v>
      </c>
    </row>
    <row r="37" customFormat="false" ht="23.25" hidden="false" customHeight="true" outlineLevel="0" collapsed="false">
      <c r="A37" s="17" t="s">
        <v>928</v>
      </c>
      <c r="B37" s="14" t="s">
        <v>929</v>
      </c>
      <c r="C37" s="70" t="n">
        <f aca="false">'Effort - Mobile &amp; IPRS'!G50</f>
        <v>31</v>
      </c>
      <c r="D37" s="75" t="n">
        <v>0.12</v>
      </c>
      <c r="E37" s="26" t="n">
        <f aca="false">ROUND(C37*D37,0)</f>
        <v>4</v>
      </c>
      <c r="F37" s="19" t="s">
        <v>1288</v>
      </c>
    </row>
    <row r="38" customFormat="false" ht="15" hidden="false" customHeight="true" outlineLevel="0" collapsed="false">
      <c r="A38" s="17" t="s">
        <v>930</v>
      </c>
      <c r="B38" s="14" t="s">
        <v>931</v>
      </c>
      <c r="C38" s="70" t="n">
        <f aca="false">'Effort - Mobile &amp; IPRS'!G51</f>
        <v>13</v>
      </c>
      <c r="D38" s="75" t="n">
        <v>0.3</v>
      </c>
      <c r="E38" s="26" t="n">
        <f aca="false">ROUND(C38*D38,0)</f>
        <v>4</v>
      </c>
      <c r="F38" s="19" t="s">
        <v>1288</v>
      </c>
    </row>
    <row r="39" customFormat="false" ht="15" hidden="false" customHeight="true" outlineLevel="0" collapsed="false">
      <c r="A39" s="17" t="s">
        <v>932</v>
      </c>
      <c r="B39" s="14" t="s">
        <v>933</v>
      </c>
      <c r="C39" s="70" t="n">
        <f aca="false">'Effort - Mobile &amp; IPRS'!G52</f>
        <v>16</v>
      </c>
      <c r="D39" s="75" t="n">
        <v>0.3</v>
      </c>
      <c r="E39" s="26" t="n">
        <f aca="false">ROUND(C39*D39,0)</f>
        <v>5</v>
      </c>
      <c r="F39" s="19" t="s">
        <v>1288</v>
      </c>
    </row>
    <row r="40" customFormat="false" ht="23.25" hidden="false" customHeight="true" outlineLevel="0" collapsed="false">
      <c r="A40" s="17" t="s">
        <v>934</v>
      </c>
      <c r="B40" s="14" t="s">
        <v>935</v>
      </c>
      <c r="C40" s="70" t="n">
        <f aca="false">'Effort - Mobile &amp; IPRS'!G53</f>
        <v>21</v>
      </c>
      <c r="D40" s="75" t="n">
        <v>0.45</v>
      </c>
      <c r="E40" s="26" t="n">
        <f aca="false">ROUND(C40*D40,0)</f>
        <v>9</v>
      </c>
      <c r="F40" s="19" t="s">
        <v>1288</v>
      </c>
    </row>
    <row r="41" customFormat="false" ht="15" hidden="false" customHeight="true" outlineLevel="0" collapsed="false">
      <c r="A41" s="17" t="s">
        <v>937</v>
      </c>
      <c r="B41" s="14" t="s">
        <v>938</v>
      </c>
      <c r="C41" s="70" t="n">
        <f aca="false">'Effort - Mobile &amp; IPRS'!G54</f>
        <v>5</v>
      </c>
      <c r="D41" s="74" t="n">
        <v>1</v>
      </c>
      <c r="E41" s="26" t="n">
        <f aca="false">ROUND(C41*D41,0)</f>
        <v>5</v>
      </c>
      <c r="F41" s="19"/>
    </row>
    <row r="42" customFormat="false" ht="15" hidden="false" customHeight="true" outlineLevel="0" collapsed="false">
      <c r="A42" s="17" t="s">
        <v>939</v>
      </c>
      <c r="B42" s="14" t="s">
        <v>940</v>
      </c>
      <c r="C42" s="70" t="n">
        <f aca="false">'Effort - Mobile &amp; IPRS'!G55</f>
        <v>13</v>
      </c>
      <c r="D42" s="75" t="n">
        <v>0.35</v>
      </c>
      <c r="E42" s="26" t="n">
        <f aca="false">ROUND(C42*D42,0)</f>
        <v>5</v>
      </c>
      <c r="F42" s="19" t="s">
        <v>1288</v>
      </c>
    </row>
    <row r="43" customFormat="false" ht="15" hidden="false" customHeight="true" outlineLevel="0" collapsed="false">
      <c r="A43" s="17" t="s">
        <v>942</v>
      </c>
      <c r="B43" s="14" t="s">
        <v>943</v>
      </c>
      <c r="C43" s="70" t="n">
        <f aca="false">'Effort - Mobile &amp; IPRS'!G56</f>
        <v>26</v>
      </c>
      <c r="D43" s="74" t="n">
        <v>1</v>
      </c>
      <c r="E43" s="26" t="n">
        <f aca="false">ROUND(C43*D43,0)</f>
        <v>26</v>
      </c>
      <c r="F43" s="19"/>
    </row>
    <row r="44" customFormat="false" ht="15" hidden="false" customHeight="true" outlineLevel="0" collapsed="false">
      <c r="A44" s="17" t="s">
        <v>945</v>
      </c>
      <c r="B44" s="14" t="s">
        <v>946</v>
      </c>
      <c r="C44" s="70" t="n">
        <f aca="false">'Effort - Mobile &amp; IPRS'!G57</f>
        <v>25</v>
      </c>
      <c r="D44" s="75" t="n">
        <v>0.2</v>
      </c>
      <c r="E44" s="26" t="n">
        <f aca="false">ROUND(C44*D44,0)</f>
        <v>5</v>
      </c>
      <c r="F44" s="19" t="s">
        <v>1296</v>
      </c>
    </row>
    <row r="45" customFormat="false" ht="15" hidden="false" customHeight="true" outlineLevel="0" collapsed="false">
      <c r="A45" s="17" t="s">
        <v>948</v>
      </c>
      <c r="B45" s="14" t="s">
        <v>949</v>
      </c>
      <c r="C45" s="70" t="n">
        <f aca="false">'Effort - Mobile &amp; IPRS'!G58</f>
        <v>15</v>
      </c>
      <c r="D45" s="75" t="n">
        <v>0.15</v>
      </c>
      <c r="E45" s="26" t="n">
        <f aca="false">ROUND(C45*D45,0)</f>
        <v>2</v>
      </c>
      <c r="F45" s="19" t="s">
        <v>1288</v>
      </c>
    </row>
    <row r="46" customFormat="false" ht="23.25" hidden="false" customHeight="true" outlineLevel="0" collapsed="false">
      <c r="A46" s="17" t="s">
        <v>951</v>
      </c>
      <c r="B46" s="14" t="s">
        <v>952</v>
      </c>
      <c r="C46" s="70" t="n">
        <f aca="false">'Effort - Mobile &amp; IPRS'!G59</f>
        <v>46</v>
      </c>
      <c r="D46" s="74" t="n">
        <v>1</v>
      </c>
      <c r="E46" s="26" t="n">
        <f aca="false">ROUND(C46*D46,0)</f>
        <v>46</v>
      </c>
      <c r="F46" s="19"/>
    </row>
    <row r="47" customFormat="false" ht="15" hidden="false" customHeight="true" outlineLevel="0" collapsed="false">
      <c r="A47" s="17" t="s">
        <v>954</v>
      </c>
      <c r="B47" s="14" t="s">
        <v>955</v>
      </c>
      <c r="C47" s="70" t="n">
        <f aca="false">'Effort - Mobile &amp; IPRS'!G60</f>
        <v>31</v>
      </c>
      <c r="D47" s="74" t="n">
        <v>1</v>
      </c>
      <c r="E47" s="26" t="n">
        <f aca="false">ROUND(C47*D47,0)</f>
        <v>31</v>
      </c>
      <c r="F47" s="19"/>
    </row>
    <row r="48" customFormat="false" ht="15" hidden="false" customHeight="true" outlineLevel="0" collapsed="false">
      <c r="A48" s="17" t="s">
        <v>991</v>
      </c>
      <c r="B48" s="14" t="s">
        <v>992</v>
      </c>
      <c r="C48" s="70" t="n">
        <f aca="false">'Effort - Website'!G6</f>
        <v>29</v>
      </c>
      <c r="D48" s="74" t="n">
        <v>1</v>
      </c>
      <c r="E48" s="26" t="n">
        <f aca="false">ROUND(C48*D48,0)</f>
        <v>29</v>
      </c>
      <c r="F48" s="19"/>
    </row>
    <row r="49" customFormat="false" ht="15" hidden="false" customHeight="true" outlineLevel="0" collapsed="false">
      <c r="A49" s="17" t="s">
        <v>994</v>
      </c>
      <c r="B49" s="14" t="s">
        <v>995</v>
      </c>
      <c r="C49" s="70" t="n">
        <f aca="false">'Effort - Website'!G7</f>
        <v>14</v>
      </c>
      <c r="D49" s="74" t="n">
        <v>1</v>
      </c>
      <c r="E49" s="26" t="n">
        <f aca="false">ROUND(C49*D49,0)</f>
        <v>14</v>
      </c>
      <c r="F49" s="19"/>
    </row>
    <row r="50" customFormat="false" ht="15" hidden="false" customHeight="true" outlineLevel="0" collapsed="false">
      <c r="A50" s="17" t="s">
        <v>999</v>
      </c>
      <c r="B50" s="14" t="s">
        <v>1000</v>
      </c>
      <c r="C50" s="70" t="n">
        <f aca="false">'Effort - Website'!G11</f>
        <v>31</v>
      </c>
      <c r="D50" s="74" t="n">
        <v>1</v>
      </c>
      <c r="E50" s="26" t="n">
        <f aca="false">ROUND(C50*D50,0)</f>
        <v>31</v>
      </c>
      <c r="F50" s="19"/>
    </row>
    <row r="51" customFormat="false" ht="15" hidden="false" customHeight="true" outlineLevel="0" collapsed="false">
      <c r="A51" s="17" t="s">
        <v>1002</v>
      </c>
      <c r="B51" s="14" t="s">
        <v>1003</v>
      </c>
      <c r="C51" s="70" t="n">
        <f aca="false">'Effort - Website'!G12</f>
        <v>43</v>
      </c>
      <c r="D51" s="74" t="n">
        <v>1</v>
      </c>
      <c r="E51" s="26" t="n">
        <f aca="false">ROUND(C51*D51,0)</f>
        <v>43</v>
      </c>
      <c r="F51" s="19"/>
    </row>
    <row r="52" customFormat="false" ht="15" hidden="false" customHeight="true" outlineLevel="0" collapsed="false">
      <c r="A52" s="17" t="s">
        <v>1005</v>
      </c>
      <c r="B52" s="14" t="s">
        <v>1006</v>
      </c>
      <c r="C52" s="70" t="n">
        <f aca="false">'Effort - Website'!G13</f>
        <v>17</v>
      </c>
      <c r="D52" s="74" t="n">
        <v>1</v>
      </c>
      <c r="E52" s="26" t="n">
        <f aca="false">ROUND(C52*D52,0)</f>
        <v>17</v>
      </c>
      <c r="F52" s="19"/>
    </row>
    <row r="53" customFormat="false" ht="15" hidden="false" customHeight="true" outlineLevel="0" collapsed="false">
      <c r="A53" s="17" t="s">
        <v>1011</v>
      </c>
      <c r="B53" s="14" t="s">
        <v>1012</v>
      </c>
      <c r="C53" s="70" t="n">
        <f aca="false">'Effort - Website'!G17</f>
        <v>25</v>
      </c>
      <c r="D53" s="74" t="n">
        <v>1</v>
      </c>
      <c r="E53" s="26" t="n">
        <f aca="false">ROUND(C53*D53,0)</f>
        <v>25</v>
      </c>
      <c r="F53" s="19"/>
    </row>
    <row r="54" customFormat="false" ht="15" hidden="false" customHeight="true" outlineLevel="0" collapsed="false">
      <c r="A54" s="17" t="s">
        <v>1015</v>
      </c>
      <c r="B54" s="14" t="s">
        <v>1016</v>
      </c>
      <c r="C54" s="70" t="n">
        <f aca="false">'Effort - Website'!G18</f>
        <v>21</v>
      </c>
      <c r="D54" s="74" t="n">
        <v>1</v>
      </c>
      <c r="E54" s="26" t="n">
        <f aca="false">ROUND(C54*D54,0)</f>
        <v>21</v>
      </c>
      <c r="F54" s="19"/>
    </row>
    <row r="55" customFormat="false" ht="23.25" hidden="false" customHeight="true" outlineLevel="0" collapsed="false">
      <c r="A55" s="17" t="s">
        <v>1018</v>
      </c>
      <c r="B55" s="14" t="s">
        <v>1019</v>
      </c>
      <c r="C55" s="70" t="n">
        <f aca="false">'Effort - Website'!G19</f>
        <v>13</v>
      </c>
      <c r="D55" s="74" t="n">
        <v>1</v>
      </c>
      <c r="E55" s="26" t="n">
        <f aca="false">ROUND(C55*D55,0)</f>
        <v>13</v>
      </c>
      <c r="F55" s="19"/>
    </row>
    <row r="56" customFormat="false" ht="15" hidden="false" customHeight="true" outlineLevel="0" collapsed="false">
      <c r="A56" s="17" t="s">
        <v>1020</v>
      </c>
      <c r="B56" s="14" t="s">
        <v>1021</v>
      </c>
      <c r="C56" s="70" t="n">
        <f aca="false">'Effort - Website'!G20</f>
        <v>11</v>
      </c>
      <c r="D56" s="74" t="n">
        <v>1</v>
      </c>
      <c r="E56" s="26" t="n">
        <f aca="false">ROUND(C56*D56,0)</f>
        <v>11</v>
      </c>
      <c r="F56" s="19"/>
    </row>
    <row r="57" customFormat="false" ht="15" hidden="false" customHeight="true" outlineLevel="0" collapsed="false">
      <c r="A57" s="17" t="s">
        <v>1022</v>
      </c>
      <c r="B57" s="14" t="s">
        <v>1023</v>
      </c>
      <c r="C57" s="70" t="n">
        <f aca="false">'Effort - Website'!G21</f>
        <v>13</v>
      </c>
      <c r="D57" s="74" t="n">
        <v>1</v>
      </c>
      <c r="E57" s="26" t="n">
        <f aca="false">ROUND(C57*D57,0)</f>
        <v>13</v>
      </c>
      <c r="F57" s="19"/>
    </row>
    <row r="58" customFormat="false" ht="15" hidden="false" customHeight="true" outlineLevel="0" collapsed="false">
      <c r="A58" s="17" t="s">
        <v>1024</v>
      </c>
      <c r="B58" s="14" t="s">
        <v>1025</v>
      </c>
      <c r="C58" s="70" t="n">
        <f aca="false">'Effort - Website'!G22</f>
        <v>19</v>
      </c>
      <c r="D58" s="74" t="n">
        <v>1</v>
      </c>
      <c r="E58" s="26" t="n">
        <f aca="false">ROUND(C58*D58,0)</f>
        <v>19</v>
      </c>
      <c r="F58" s="19"/>
    </row>
    <row r="59" customFormat="false" ht="23.25" hidden="false" customHeight="true" outlineLevel="0" collapsed="false">
      <c r="A59" s="17" t="s">
        <v>1026</v>
      </c>
      <c r="B59" s="14" t="s">
        <v>1027</v>
      </c>
      <c r="C59" s="70" t="n">
        <f aca="false">'Effort - Website'!G23</f>
        <v>21</v>
      </c>
      <c r="D59" s="74" t="n">
        <v>1</v>
      </c>
      <c r="E59" s="26" t="n">
        <f aca="false">ROUND(C59*D59,0)</f>
        <v>21</v>
      </c>
      <c r="F59" s="19"/>
    </row>
    <row r="60" customFormat="false" ht="15" hidden="false" customHeight="true" outlineLevel="0" collapsed="false">
      <c r="A60" s="17" t="s">
        <v>1033</v>
      </c>
      <c r="B60" s="14" t="s">
        <v>1034</v>
      </c>
      <c r="C60" s="70" t="n">
        <f aca="false">'Effort - Website'!G27</f>
        <v>29</v>
      </c>
      <c r="D60" s="74" t="n">
        <v>1</v>
      </c>
      <c r="E60" s="26" t="n">
        <f aca="false">ROUND(C60*D60,0)</f>
        <v>29</v>
      </c>
      <c r="F60" s="19"/>
    </row>
    <row r="61" customFormat="false" ht="15" hidden="false" customHeight="true" outlineLevel="0" collapsed="false">
      <c r="A61" s="17" t="s">
        <v>1036</v>
      </c>
      <c r="B61" s="14" t="s">
        <v>1037</v>
      </c>
      <c r="C61" s="70" t="n">
        <f aca="false">'Effort - Website'!G28</f>
        <v>17</v>
      </c>
      <c r="D61" s="74" t="n">
        <v>1</v>
      </c>
      <c r="E61" s="26" t="n">
        <f aca="false">ROUND(C61*D61,0)</f>
        <v>17</v>
      </c>
      <c r="F61" s="19"/>
    </row>
    <row r="62" customFormat="false" ht="23.25" hidden="false" customHeight="true" outlineLevel="0" collapsed="false">
      <c r="A62" s="17" t="s">
        <v>1038</v>
      </c>
      <c r="B62" s="14" t="s">
        <v>1039</v>
      </c>
      <c r="C62" s="70" t="n">
        <f aca="false">'Effort - Website'!G29</f>
        <v>25</v>
      </c>
      <c r="D62" s="74" t="n">
        <v>1</v>
      </c>
      <c r="E62" s="26" t="n">
        <f aca="false">ROUND(C62*D62,0)</f>
        <v>25</v>
      </c>
      <c r="F62" s="19"/>
    </row>
    <row r="63" customFormat="false" ht="15" hidden="false" customHeight="true" outlineLevel="0" collapsed="false">
      <c r="A63" s="17" t="s">
        <v>1041</v>
      </c>
      <c r="B63" s="14" t="s">
        <v>1042</v>
      </c>
      <c r="C63" s="70" t="n">
        <f aca="false">'Effort - Website'!G30</f>
        <v>31</v>
      </c>
      <c r="D63" s="74" t="n">
        <v>1</v>
      </c>
      <c r="E63" s="26" t="n">
        <f aca="false">ROUND(C63*D63,0)</f>
        <v>31</v>
      </c>
      <c r="F63" s="19"/>
    </row>
    <row r="64" customFormat="false" ht="15" hidden="false" customHeight="true" outlineLevel="0" collapsed="false">
      <c r="A64" s="17" t="s">
        <v>1043</v>
      </c>
      <c r="B64" s="14" t="s">
        <v>1044</v>
      </c>
      <c r="C64" s="70" t="n">
        <f aca="false">'Effort - Website'!G31</f>
        <v>19</v>
      </c>
      <c r="D64" s="74" t="n">
        <v>1</v>
      </c>
      <c r="E64" s="26" t="n">
        <f aca="false">ROUND(C64*D64,0)</f>
        <v>19</v>
      </c>
      <c r="F64" s="19"/>
    </row>
    <row r="65" customFormat="false" ht="15" hidden="false" customHeight="true" outlineLevel="0" collapsed="false">
      <c r="A65" s="17" t="s">
        <v>1045</v>
      </c>
      <c r="B65" s="14" t="s">
        <v>1046</v>
      </c>
      <c r="C65" s="70" t="n">
        <f aca="false">'Effort - Website'!G32</f>
        <v>17</v>
      </c>
      <c r="D65" s="74" t="n">
        <v>1</v>
      </c>
      <c r="E65" s="26" t="n">
        <f aca="false">ROUND(C65*D65,0)</f>
        <v>17</v>
      </c>
      <c r="F65" s="19"/>
    </row>
    <row r="66" customFormat="false" ht="15" hidden="false" customHeight="true" outlineLevel="0" collapsed="false">
      <c r="A66" s="17" t="s">
        <v>1047</v>
      </c>
      <c r="B66" s="14" t="s">
        <v>1048</v>
      </c>
      <c r="C66" s="70" t="n">
        <f aca="false">'Effort - Website'!G33</f>
        <v>46</v>
      </c>
      <c r="D66" s="74" t="n">
        <v>1</v>
      </c>
      <c r="E66" s="26" t="n">
        <f aca="false">ROUND(C66*D66,0)</f>
        <v>46</v>
      </c>
      <c r="F66" s="19"/>
    </row>
    <row r="67" customFormat="false" ht="15" hidden="false" customHeight="true" outlineLevel="0" collapsed="false">
      <c r="A67" s="17" t="s">
        <v>1050</v>
      </c>
      <c r="B67" s="14" t="s">
        <v>1051</v>
      </c>
      <c r="C67" s="70" t="n">
        <f aca="false">'Effort - Website'!G34</f>
        <v>25</v>
      </c>
      <c r="D67" s="74" t="n">
        <v>1</v>
      </c>
      <c r="E67" s="26" t="n">
        <f aca="false">ROUND(C67*D67,0)</f>
        <v>25</v>
      </c>
      <c r="F67" s="19"/>
    </row>
    <row r="68" customFormat="false" ht="15" hidden="false" customHeight="true" outlineLevel="0" collapsed="false">
      <c r="A68" s="17" t="s">
        <v>1055</v>
      </c>
      <c r="B68" s="14" t="s">
        <v>1056</v>
      </c>
      <c r="C68" s="70" t="n">
        <f aca="false">'Effort - Website'!G38</f>
        <v>51</v>
      </c>
      <c r="D68" s="74" t="n">
        <v>1</v>
      </c>
      <c r="E68" s="26" t="n">
        <f aca="false">ROUND(C68*D68,0)</f>
        <v>51</v>
      </c>
      <c r="F68" s="19"/>
    </row>
    <row r="69" customFormat="false" ht="15" hidden="false" customHeight="true" outlineLevel="0" collapsed="false">
      <c r="A69" s="17" t="s">
        <v>1058</v>
      </c>
      <c r="B69" s="14" t="s">
        <v>1059</v>
      </c>
      <c r="C69" s="70" t="n">
        <f aca="false">'Effort - Website'!G39</f>
        <v>19</v>
      </c>
      <c r="D69" s="74" t="n">
        <v>1</v>
      </c>
      <c r="E69" s="26" t="n">
        <f aca="false">ROUND(C69*D69,0)</f>
        <v>19</v>
      </c>
      <c r="F69" s="19"/>
    </row>
    <row r="70" customFormat="false" ht="15" hidden="false" customHeight="true" outlineLevel="0" collapsed="false">
      <c r="A70" s="17" t="s">
        <v>1061</v>
      </c>
      <c r="B70" s="14" t="s">
        <v>1062</v>
      </c>
      <c r="C70" s="70" t="n">
        <f aca="false">'Effort - Website'!G40</f>
        <v>16</v>
      </c>
      <c r="D70" s="74" t="n">
        <v>1</v>
      </c>
      <c r="E70" s="26" t="n">
        <f aca="false">ROUND(C70*D70,0)</f>
        <v>16</v>
      </c>
      <c r="F70" s="19"/>
    </row>
    <row r="71" customFormat="false" ht="15" hidden="false" customHeight="true" outlineLevel="0" collapsed="false">
      <c r="A71" s="17" t="s">
        <v>1064</v>
      </c>
      <c r="B71" s="14" t="s">
        <v>1065</v>
      </c>
      <c r="C71" s="70" t="n">
        <f aca="false">'Effort - Website'!G41</f>
        <v>39</v>
      </c>
      <c r="D71" s="74" t="n">
        <v>1</v>
      </c>
      <c r="E71" s="26" t="n">
        <f aca="false">ROUND(C71*D71,0)</f>
        <v>39</v>
      </c>
      <c r="F71" s="19"/>
    </row>
    <row r="72" customFormat="false" ht="15" hidden="false" customHeight="true" outlineLevel="0" collapsed="false">
      <c r="A72" s="17" t="s">
        <v>715</v>
      </c>
      <c r="B72" s="14" t="s">
        <v>1069</v>
      </c>
      <c r="C72" s="70" t="n">
        <f aca="false">'Effort - Website'!G45</f>
        <v>33</v>
      </c>
      <c r="D72" s="74" t="n">
        <v>1</v>
      </c>
      <c r="E72" s="26" t="n">
        <f aca="false">ROUND(C72*D72,0)</f>
        <v>33</v>
      </c>
      <c r="F72" s="19"/>
    </row>
    <row r="73" customFormat="false" ht="15" hidden="false" customHeight="true" outlineLevel="0" collapsed="false">
      <c r="A73" s="17" t="s">
        <v>720</v>
      </c>
      <c r="B73" s="14" t="s">
        <v>1071</v>
      </c>
      <c r="C73" s="70" t="n">
        <f aca="false">'Effort - Website'!G46</f>
        <v>29</v>
      </c>
      <c r="D73" s="74" t="n">
        <v>1</v>
      </c>
      <c r="E73" s="26" t="n">
        <f aca="false">ROUND(C73*D73,0)</f>
        <v>29</v>
      </c>
      <c r="F73" s="19"/>
    </row>
    <row r="74" customFormat="false" ht="15" hidden="false" customHeight="true" outlineLevel="0" collapsed="false">
      <c r="A74" s="17" t="s">
        <v>725</v>
      </c>
      <c r="B74" s="14" t="s">
        <v>1072</v>
      </c>
      <c r="C74" s="70" t="n">
        <f aca="false">'Effort - Website'!G47</f>
        <v>21</v>
      </c>
      <c r="D74" s="74" t="n">
        <v>1</v>
      </c>
      <c r="E74" s="26" t="n">
        <f aca="false">ROUND(C74*D74,0)</f>
        <v>21</v>
      </c>
      <c r="F74" s="19"/>
    </row>
    <row r="75" customFormat="false" ht="15" hidden="false" customHeight="true" outlineLevel="0" collapsed="false">
      <c r="A75" s="17" t="s">
        <v>728</v>
      </c>
      <c r="B75" s="14" t="s">
        <v>1073</v>
      </c>
      <c r="C75" s="70" t="n">
        <f aca="false">'Effort - Website'!G48</f>
        <v>47</v>
      </c>
      <c r="D75" s="74" t="n">
        <v>1</v>
      </c>
      <c r="E75" s="26" t="n">
        <f aca="false">ROUND(C75*D75,0)</f>
        <v>47</v>
      </c>
      <c r="F75" s="19"/>
    </row>
    <row r="76" customFormat="false" ht="15" hidden="false" customHeight="true" outlineLevel="0" collapsed="false">
      <c r="A76" s="17" t="s">
        <v>803</v>
      </c>
      <c r="B76" s="14" t="s">
        <v>1075</v>
      </c>
      <c r="C76" s="70" t="n">
        <f aca="false">'Effort - Website'!G49</f>
        <v>25</v>
      </c>
      <c r="D76" s="74" t="n">
        <v>1</v>
      </c>
      <c r="E76" s="26" t="n">
        <f aca="false">ROUND(C76*D76,0)</f>
        <v>25</v>
      </c>
      <c r="F76" s="19"/>
    </row>
    <row r="77" customFormat="false" ht="15" hidden="false" customHeight="true" outlineLevel="0" collapsed="false">
      <c r="A77" s="17" t="s">
        <v>804</v>
      </c>
      <c r="B77" s="14" t="s">
        <v>1076</v>
      </c>
      <c r="C77" s="70" t="n">
        <f aca="false">'Effort - Website'!G50</f>
        <v>19</v>
      </c>
      <c r="D77" s="74" t="n">
        <v>1</v>
      </c>
      <c r="E77" s="26" t="n">
        <f aca="false">ROUND(C77*D77,0)</f>
        <v>19</v>
      </c>
      <c r="F77" s="19"/>
    </row>
    <row r="78" customFormat="false" ht="23.25" hidden="false" customHeight="true" outlineLevel="0" collapsed="false">
      <c r="A78" s="17" t="s">
        <v>1077</v>
      </c>
      <c r="B78" s="14" t="s">
        <v>1078</v>
      </c>
      <c r="C78" s="70" t="n">
        <f aca="false">'Effort - Website'!G51</f>
        <v>19</v>
      </c>
      <c r="D78" s="74" t="n">
        <v>1</v>
      </c>
      <c r="E78" s="26" t="n">
        <f aca="false">ROUND(C78*D78,0)</f>
        <v>19</v>
      </c>
      <c r="F78" s="19"/>
    </row>
    <row r="79" customFormat="false" ht="15" hidden="false" customHeight="true" outlineLevel="0" collapsed="false">
      <c r="A79" s="17" t="s">
        <v>1083</v>
      </c>
      <c r="B79" s="14" t="s">
        <v>1084</v>
      </c>
      <c r="C79" s="70" t="n">
        <f aca="false">'Effort - Website'!G55</f>
        <v>31</v>
      </c>
      <c r="D79" s="75" t="n">
        <v>0.15</v>
      </c>
      <c r="E79" s="26" t="n">
        <f aca="false">ROUND(C79*D79,0)</f>
        <v>5</v>
      </c>
      <c r="F79" s="19" t="s">
        <v>1297</v>
      </c>
    </row>
    <row r="80" customFormat="false" ht="23.25" hidden="false" customHeight="true" outlineLevel="0" collapsed="false">
      <c r="A80" s="17" t="s">
        <v>1086</v>
      </c>
      <c r="B80" s="14" t="s">
        <v>1087</v>
      </c>
      <c r="C80" s="70" t="n">
        <f aca="false">'Effort - Website'!G56</f>
        <v>26</v>
      </c>
      <c r="D80" s="75" t="n">
        <v>0.55</v>
      </c>
      <c r="E80" s="26" t="n">
        <f aca="false">ROUND(C80*D80,0)</f>
        <v>14</v>
      </c>
      <c r="F80" s="19" t="s">
        <v>1298</v>
      </c>
    </row>
    <row r="81" customFormat="false" ht="23.25" hidden="false" customHeight="true" outlineLevel="0" collapsed="false">
      <c r="A81" s="17" t="s">
        <v>1090</v>
      </c>
      <c r="B81" s="14" t="s">
        <v>1091</v>
      </c>
      <c r="C81" s="70" t="n">
        <f aca="false">'Effort - Website'!G57</f>
        <v>36</v>
      </c>
      <c r="D81" s="75" t="n">
        <v>0.15</v>
      </c>
      <c r="E81" s="26" t="n">
        <f aca="false">ROUND(C81*D81,0)</f>
        <v>5</v>
      </c>
      <c r="F81" s="19" t="s">
        <v>1299</v>
      </c>
    </row>
    <row r="82" customFormat="false" ht="15" hidden="false" customHeight="true" outlineLevel="0" collapsed="false">
      <c r="A82" s="17" t="s">
        <v>1093</v>
      </c>
      <c r="B82" s="14" t="s">
        <v>1094</v>
      </c>
      <c r="C82" s="70" t="n">
        <f aca="false">'Effort - Website'!G58</f>
        <v>21</v>
      </c>
      <c r="D82" s="75" t="n">
        <v>0.2</v>
      </c>
      <c r="E82" s="26" t="n">
        <f aca="false">ROUND(C82*D82,0)</f>
        <v>4</v>
      </c>
      <c r="F82" s="19" t="s">
        <v>1288</v>
      </c>
    </row>
    <row r="83" customFormat="false" ht="15" hidden="false" customHeight="true" outlineLevel="0" collapsed="false">
      <c r="A83" s="17" t="s">
        <v>1096</v>
      </c>
      <c r="B83" s="14" t="s">
        <v>1097</v>
      </c>
      <c r="C83" s="70" t="n">
        <f aca="false">'Effort - Website'!G59</f>
        <v>31</v>
      </c>
      <c r="D83" s="75" t="n">
        <v>0.15</v>
      </c>
      <c r="E83" s="26" t="n">
        <f aca="false">ROUND(C83*D83,0)</f>
        <v>5</v>
      </c>
      <c r="F83" s="19" t="s">
        <v>1300</v>
      </c>
    </row>
    <row r="84" customFormat="false" ht="23.25" hidden="false" customHeight="true" outlineLevel="0" collapsed="false">
      <c r="A84" s="17" t="s">
        <v>1099</v>
      </c>
      <c r="B84" s="14" t="s">
        <v>1100</v>
      </c>
      <c r="C84" s="70" t="n">
        <f aca="false">'Effort - Website'!G60</f>
        <v>26</v>
      </c>
      <c r="D84" s="75" t="n">
        <v>0.15</v>
      </c>
      <c r="E84" s="26" t="n">
        <f aca="false">ROUND(C84*D84,0)</f>
        <v>4</v>
      </c>
      <c r="F84" s="19" t="s">
        <v>1288</v>
      </c>
    </row>
    <row r="85" customFormat="false" ht="15" hidden="false" customHeight="true" outlineLevel="0" collapsed="false">
      <c r="A85" s="17" t="s">
        <v>1102</v>
      </c>
      <c r="B85" s="14" t="s">
        <v>1103</v>
      </c>
      <c r="C85" s="70" t="n">
        <f aca="false">'Effort - Website'!G61</f>
        <v>19</v>
      </c>
      <c r="D85" s="75" t="n">
        <v>0.2</v>
      </c>
      <c r="E85" s="26" t="n">
        <f aca="false">ROUND(C85*D85,0)</f>
        <v>4</v>
      </c>
      <c r="F85" s="19" t="s">
        <v>1288</v>
      </c>
    </row>
    <row r="86" customFormat="false" ht="15" hidden="false" customHeight="true" outlineLevel="0" collapsed="false">
      <c r="A86" s="17" t="s">
        <v>1105</v>
      </c>
      <c r="B86" s="14" t="s">
        <v>1106</v>
      </c>
      <c r="C86" s="70" t="n">
        <f aca="false">'Effort - Website'!G62</f>
        <v>23</v>
      </c>
      <c r="D86" s="75" t="n">
        <v>0.25</v>
      </c>
      <c r="E86" s="26" t="n">
        <f aca="false">ROUND(C86*D86,0)</f>
        <v>6</v>
      </c>
      <c r="F86" s="19" t="s">
        <v>1288</v>
      </c>
    </row>
    <row r="87" customFormat="false" ht="23.25" hidden="false" customHeight="true" outlineLevel="0" collapsed="false">
      <c r="A87" s="17" t="s">
        <v>1108</v>
      </c>
      <c r="B87" s="14" t="s">
        <v>1109</v>
      </c>
      <c r="C87" s="70" t="n">
        <f aca="false">'Effort - Website'!G63</f>
        <v>36</v>
      </c>
      <c r="D87" s="75" t="n">
        <v>0.6</v>
      </c>
      <c r="E87" s="26" t="n">
        <f aca="false">ROUND(C87*D87,0)</f>
        <v>22</v>
      </c>
      <c r="F87" s="19" t="s">
        <v>1301</v>
      </c>
    </row>
    <row r="88" customFormat="false" ht="15" hidden="false" customHeight="true" outlineLevel="0" collapsed="false">
      <c r="A88" s="17" t="s">
        <v>1114</v>
      </c>
      <c r="B88" s="14" t="s">
        <v>1115</v>
      </c>
      <c r="C88" s="70" t="n">
        <f aca="false">'Effort - Website'!G67</f>
        <v>21</v>
      </c>
      <c r="D88" s="74" t="n">
        <v>1</v>
      </c>
      <c r="E88" s="26" t="n">
        <f aca="false">ROUND(C88*D88,0)</f>
        <v>21</v>
      </c>
      <c r="F88" s="19"/>
    </row>
    <row r="89" customFormat="false" ht="15" hidden="false" customHeight="true" outlineLevel="0" collapsed="false">
      <c r="A89" s="17" t="s">
        <v>1117</v>
      </c>
      <c r="B89" s="14" t="s">
        <v>1118</v>
      </c>
      <c r="C89" s="70" t="n">
        <f aca="false">'Effort - Website'!G68</f>
        <v>17</v>
      </c>
      <c r="D89" s="74" t="n">
        <v>1</v>
      </c>
      <c r="E89" s="26" t="n">
        <f aca="false">ROUND(C89*D89,0)</f>
        <v>17</v>
      </c>
      <c r="F89" s="19"/>
    </row>
    <row r="90" customFormat="false" ht="15" hidden="false" customHeight="true" outlineLevel="0" collapsed="false">
      <c r="A90" s="17" t="s">
        <v>1120</v>
      </c>
      <c r="B90" s="14" t="s">
        <v>1121</v>
      </c>
      <c r="C90" s="70" t="n">
        <f aca="false">'Effort - Website'!G69</f>
        <v>36</v>
      </c>
      <c r="D90" s="75" t="n">
        <v>0.4</v>
      </c>
      <c r="E90" s="26" t="n">
        <f aca="false">ROUND(C90*D90,0)</f>
        <v>14</v>
      </c>
      <c r="F90" s="19" t="s">
        <v>1288</v>
      </c>
    </row>
    <row r="91" customFormat="false" ht="23.25" hidden="false" customHeight="true" outlineLevel="0" collapsed="false">
      <c r="A91" s="17" t="s">
        <v>1123</v>
      </c>
      <c r="B91" s="14" t="s">
        <v>1124</v>
      </c>
      <c r="C91" s="70" t="n">
        <f aca="false">'Effort - Website'!G70</f>
        <v>29</v>
      </c>
      <c r="D91" s="74" t="n">
        <v>1</v>
      </c>
      <c r="E91" s="26" t="n">
        <f aca="false">ROUND(C91*D91,0)</f>
        <v>29</v>
      </c>
      <c r="F91" s="19"/>
    </row>
    <row r="92" customFormat="false" ht="23.25" hidden="false" customHeight="true" outlineLevel="0" collapsed="false">
      <c r="A92" s="17" t="s">
        <v>1127</v>
      </c>
      <c r="B92" s="14" t="s">
        <v>1128</v>
      </c>
      <c r="C92" s="70" t="n">
        <f aca="false">'Effort - Website'!G71</f>
        <v>31</v>
      </c>
      <c r="D92" s="74" t="n">
        <v>1</v>
      </c>
      <c r="E92" s="26" t="n">
        <f aca="false">ROUND(C92*D92,0)</f>
        <v>31</v>
      </c>
      <c r="F92" s="19"/>
    </row>
    <row r="93" customFormat="false" ht="15" hidden="false" customHeight="true" outlineLevel="0" collapsed="false">
      <c r="A93" s="17" t="s">
        <v>1130</v>
      </c>
      <c r="B93" s="14" t="s">
        <v>1131</v>
      </c>
      <c r="C93" s="70" t="n">
        <f aca="false">'Effort - Website'!G72</f>
        <v>36</v>
      </c>
      <c r="D93" s="74" t="n">
        <v>1</v>
      </c>
      <c r="E93" s="26" t="n">
        <f aca="false">ROUND(C93*D93,0)</f>
        <v>36</v>
      </c>
      <c r="F93" s="19"/>
    </row>
    <row r="94" customFormat="false" ht="15" hidden="false" customHeight="true" outlineLevel="0" collapsed="false">
      <c r="A94" s="17" t="s">
        <v>577</v>
      </c>
      <c r="B94" s="14" t="s">
        <v>1136</v>
      </c>
      <c r="C94" s="70" t="n">
        <f aca="false">'Effort - Website'!G76</f>
        <v>25</v>
      </c>
      <c r="D94" s="74" t="n">
        <v>1</v>
      </c>
      <c r="E94" s="26" t="n">
        <f aca="false">ROUND(C94*D94,0)</f>
        <v>25</v>
      </c>
      <c r="F94" s="19"/>
    </row>
    <row r="95" customFormat="false" ht="15" hidden="false" customHeight="true" outlineLevel="0" collapsed="false">
      <c r="A95" s="17" t="s">
        <v>580</v>
      </c>
      <c r="B95" s="14" t="s">
        <v>1138</v>
      </c>
      <c r="C95" s="70" t="n">
        <f aca="false">'Effort - Website'!G77</f>
        <v>36</v>
      </c>
      <c r="D95" s="74" t="n">
        <v>1</v>
      </c>
      <c r="E95" s="26" t="n">
        <f aca="false">ROUND(C95*D95,0)</f>
        <v>36</v>
      </c>
      <c r="F95" s="19"/>
    </row>
    <row r="96" customFormat="false" ht="15" hidden="false" customHeight="true" outlineLevel="0" collapsed="false">
      <c r="A96" s="17" t="s">
        <v>583</v>
      </c>
      <c r="B96" s="14" t="s">
        <v>1140</v>
      </c>
      <c r="C96" s="70" t="n">
        <f aca="false">'Effort - Website'!G78</f>
        <v>16</v>
      </c>
      <c r="D96" s="74" t="n">
        <v>1</v>
      </c>
      <c r="E96" s="26" t="n">
        <f aca="false">ROUND(C96*D96,0)</f>
        <v>16</v>
      </c>
      <c r="F96" s="19"/>
    </row>
    <row r="97" customFormat="false" ht="15" hidden="false" customHeight="true" outlineLevel="0" collapsed="false">
      <c r="A97" s="17" t="s">
        <v>586</v>
      </c>
      <c r="B97" s="14" t="s">
        <v>1142</v>
      </c>
      <c r="C97" s="70" t="n">
        <f aca="false">'Effort - Website'!G79</f>
        <v>13</v>
      </c>
      <c r="D97" s="74" t="n">
        <v>1</v>
      </c>
      <c r="E97" s="26" t="n">
        <f aca="false">ROUND(C97*D97,0)</f>
        <v>13</v>
      </c>
      <c r="F97" s="19"/>
    </row>
    <row r="98" customFormat="false" ht="15" hidden="false" customHeight="true" outlineLevel="0" collapsed="false">
      <c r="A98" s="17" t="s">
        <v>629</v>
      </c>
      <c r="B98" s="14" t="s">
        <v>1147</v>
      </c>
      <c r="C98" s="70" t="n">
        <f aca="false">'Effort - Website'!G83</f>
        <v>31</v>
      </c>
      <c r="D98" s="74" t="n">
        <v>1</v>
      </c>
      <c r="E98" s="26" t="n">
        <f aca="false">ROUND(C98*D98,0)</f>
        <v>31</v>
      </c>
      <c r="F98" s="19"/>
    </row>
    <row r="99" customFormat="false" ht="15" hidden="false" customHeight="true" outlineLevel="0" collapsed="false">
      <c r="A99" s="17" t="s">
        <v>632</v>
      </c>
      <c r="B99" s="14" t="s">
        <v>1149</v>
      </c>
      <c r="C99" s="70" t="n">
        <f aca="false">'Effort - Website'!G84</f>
        <v>27</v>
      </c>
      <c r="D99" s="74" t="n">
        <v>1</v>
      </c>
      <c r="E99" s="26" t="n">
        <f aca="false">ROUND(C99*D99,0)</f>
        <v>27</v>
      </c>
      <c r="F99" s="19"/>
    </row>
    <row r="100" customFormat="false" ht="15" hidden="false" customHeight="true" outlineLevel="0" collapsed="false">
      <c r="A100" s="17" t="s">
        <v>635</v>
      </c>
      <c r="B100" s="14" t="s">
        <v>1152</v>
      </c>
      <c r="C100" s="70" t="n">
        <f aca="false">'Effort - Website'!G85</f>
        <v>19</v>
      </c>
      <c r="D100" s="75" t="n">
        <v>0.45</v>
      </c>
      <c r="E100" s="26" t="n">
        <f aca="false">ROUND(C100*D100,0)</f>
        <v>9</v>
      </c>
      <c r="F100" s="19" t="s">
        <v>1302</v>
      </c>
    </row>
    <row r="101" customFormat="false" ht="15" hidden="false" customHeight="true" outlineLevel="0" collapsed="false">
      <c r="A101" s="17" t="s">
        <v>638</v>
      </c>
      <c r="B101" s="14" t="s">
        <v>1154</v>
      </c>
      <c r="C101" s="70" t="n">
        <f aca="false">'Effort - Website'!G86</f>
        <v>31</v>
      </c>
      <c r="D101" s="74" t="n">
        <v>1</v>
      </c>
      <c r="E101" s="26" t="n">
        <f aca="false">ROUND(C101*D101,0)</f>
        <v>31</v>
      </c>
      <c r="F101" s="19"/>
    </row>
    <row r="102" customFormat="false" ht="23.25" hidden="false" customHeight="true" outlineLevel="0" collapsed="false">
      <c r="A102" s="17" t="s">
        <v>641</v>
      </c>
      <c r="B102" s="14" t="s">
        <v>1156</v>
      </c>
      <c r="C102" s="70" t="n">
        <f aca="false">'Effort - Website'!G87</f>
        <v>29</v>
      </c>
      <c r="D102" s="74" t="n">
        <v>1</v>
      </c>
      <c r="E102" s="26" t="n">
        <f aca="false">ROUND(C102*D102,0)</f>
        <v>29</v>
      </c>
      <c r="F102" s="19"/>
    </row>
    <row r="103" customFormat="false" ht="15" hidden="false" customHeight="true" outlineLevel="0" collapsed="false">
      <c r="A103" s="28"/>
      <c r="B103" s="29" t="s">
        <v>1254</v>
      </c>
      <c r="C103" s="30" t="n">
        <f aca="false">SUM(C5:C102)</f>
        <v>2613</v>
      </c>
      <c r="D103" s="28"/>
      <c r="E103" s="30" t="n">
        <f aca="false">SUM(E5:E102)</f>
        <v>1921</v>
      </c>
      <c r="F103" s="28"/>
    </row>
    <row r="105" customFormat="false" ht="15" hidden="false" customHeight="true" outlineLevel="0" collapsed="false">
      <c r="B105" s="13" t="s">
        <v>1303</v>
      </c>
      <c r="C105" s="73" t="n">
        <f aca="false">IFERROR(E103/C103,0)</f>
        <v>0.735170302334481</v>
      </c>
    </row>
    <row r="106" customFormat="false" ht="15" hidden="false" customHeight="true" outlineLevel="0" collapsed="false">
      <c r="B106" s="13" t="s">
        <v>1279</v>
      </c>
      <c r="C106" s="26" t="n">
        <f aca="false">ROUND((477+404)*C105,0)</f>
        <v>648</v>
      </c>
    </row>
    <row r="107" customFormat="false" ht="15" hidden="false" customHeight="true" outlineLevel="0" collapsed="false">
      <c r="A107" s="31"/>
      <c r="B107" s="32" t="s">
        <v>1304</v>
      </c>
      <c r="C107" s="36" t="n">
        <f aca="false">ROUND(E103+C106,0)</f>
        <v>2569</v>
      </c>
      <c r="D107" s="31"/>
      <c r="E107" s="31"/>
      <c r="F107" s="31"/>
    </row>
    <row r="109" customFormat="false" ht="15" hidden="false" customHeight="true" outlineLevel="0" collapsed="false">
      <c r="B109" s="13" t="s">
        <v>1305</v>
      </c>
      <c r="C109" s="25" t="n">
        <v>60</v>
      </c>
      <c r="D109" s="35" t="s">
        <v>1306</v>
      </c>
      <c r="F109" s="19" t="s">
        <v>1307</v>
      </c>
    </row>
    <row r="110" customFormat="false" ht="15" hidden="false" customHeight="true" outlineLevel="0" collapsed="false">
      <c r="B110" s="13" t="s">
        <v>1308</v>
      </c>
      <c r="C110" s="41" t="n">
        <f aca="false">C109*5/100</f>
        <v>3</v>
      </c>
      <c r="D110" s="35" t="s">
        <v>704</v>
      </c>
    </row>
    <row r="112" customFormat="false" ht="43.5" hidden="false" customHeight="true" outlineLevel="0" collapsed="false">
      <c r="B112" s="13" t="s">
        <v>1309</v>
      </c>
      <c r="C112" s="19" t="s">
        <v>1310</v>
      </c>
      <c r="D112" s="19"/>
      <c r="E112" s="19"/>
      <c r="F112" s="19"/>
    </row>
    <row r="114" customFormat="false" ht="15" hidden="false" customHeight="true" outlineLevel="0" collapsed="false">
      <c r="B114" s="11" t="s">
        <v>1311</v>
      </c>
      <c r="C114" s="15"/>
      <c r="D114" s="15"/>
      <c r="E114" s="15"/>
      <c r="F114" s="15"/>
    </row>
    <row r="115" customFormat="false" ht="15" hidden="false" customHeight="true" outlineLevel="0" collapsed="false">
      <c r="B115" s="13" t="s">
        <v>1312</v>
      </c>
      <c r="C115" s="76" t="n">
        <f aca="false">'Scenarios &amp; Cost'!E6</f>
        <v>5.619282</v>
      </c>
      <c r="D115" s="35" t="s">
        <v>704</v>
      </c>
    </row>
    <row r="116" customFormat="false" ht="15" hidden="false" customHeight="true" outlineLevel="0" collapsed="false">
      <c r="B116" s="13" t="s">
        <v>1313</v>
      </c>
      <c r="C116" s="76" t="n">
        <f aca="false">'Scenarios &amp; Cost'!E9</f>
        <v>4.216731</v>
      </c>
      <c r="D116" s="35" t="s">
        <v>704</v>
      </c>
    </row>
    <row r="117" customFormat="false" ht="15" hidden="false" customHeight="true" outlineLevel="0" collapsed="false">
      <c r="B117" s="13" t="s">
        <v>1314</v>
      </c>
      <c r="C117" s="38" t="n">
        <f aca="false">C109*5/100</f>
        <v>3</v>
      </c>
      <c r="D117" s="35" t="s">
        <v>704</v>
      </c>
    </row>
    <row r="118" customFormat="false" ht="15" hidden="false" customHeight="true" outlineLevel="0" collapsed="false">
      <c r="B118" s="21" t="s">
        <v>1315</v>
      </c>
      <c r="C118" s="77" t="n">
        <f aca="false">C116+C117</f>
        <v>7.216731</v>
      </c>
      <c r="D118" s="37" t="s">
        <v>704</v>
      </c>
      <c r="E118" s="31"/>
      <c r="F118" s="31"/>
    </row>
    <row r="120" customFormat="false" ht="18.75" hidden="false" customHeight="true" outlineLevel="0" collapsed="false">
      <c r="B120" s="32" t="s">
        <v>1316</v>
      </c>
      <c r="C120" s="78" t="n">
        <f aca="false">ROUND((C115-C116)*100/5,1)</f>
        <v>28.1</v>
      </c>
      <c r="D120" s="37" t="s">
        <v>1306</v>
      </c>
      <c r="F120" s="22" t="s">
        <v>1317</v>
      </c>
    </row>
    <row r="122" customFormat="false" ht="69.75" hidden="false" customHeight="true" outlineLevel="0" collapsed="false">
      <c r="B122" s="13" t="s">
        <v>774</v>
      </c>
      <c r="C122" s="19" t="s">
        <v>1318</v>
      </c>
      <c r="D122" s="19"/>
      <c r="E122" s="19"/>
      <c r="F122" s="19"/>
    </row>
  </sheetData>
  <sheetProtection sheet="true"/>
  <mergeCells count="2">
    <mergeCell ref="C112:F112"/>
    <mergeCell ref="C122:F122"/>
  </mergeCells>
  <dataValidations count="2">
    <dataValidation allowBlank="true" error="This must be a number of zero or more." errorStyle="stop" errorTitle="Not a number" operator="between" prompt="This must be a number of zero or more." promptTitle="Input cell" showDropDown="false" showErrorMessage="true" showInputMessage="false" sqref="C109" type="decimal">
      <formula1>0</formula1>
      <formula2>1000000000</formula2>
    </dataValidation>
    <dataValidation allowBlank="true" error="A factor or probability must lie between 0 and 1." errorStyle="stop" errorTitle="Out of range" operator="between" prompt="A factor or probability must lie between 0 and 1." promptTitle="Input cell" showDropDown="false" showErrorMessage="true" showInputMessage="false" sqref="D5:D102"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4"/>
    <col collapsed="false" customWidth="true" hidden="false" outlineLevel="0" max="5" min="3" style="1" width="14"/>
    <col collapsed="false" customWidth="true" hidden="false" outlineLevel="0" max="6" min="6" style="1" width="52"/>
  </cols>
  <sheetData>
    <row r="1" customFormat="false" ht="17.25" hidden="false" customHeight="true" outlineLevel="0" collapsed="false">
      <c r="A1" s="2" t="s">
        <v>1319</v>
      </c>
    </row>
    <row r="2" customFormat="false" ht="15" hidden="false" customHeight="true" outlineLevel="0" collapsed="false">
      <c r="A2" s="3" t="s">
        <v>1320</v>
      </c>
    </row>
    <row r="4" customFormat="false" ht="15" hidden="false" customHeight="true" outlineLevel="0" collapsed="false">
      <c r="B4" s="11" t="s">
        <v>1321</v>
      </c>
      <c r="C4" s="15"/>
      <c r="D4" s="15"/>
      <c r="E4" s="15"/>
      <c r="F4" s="15"/>
    </row>
    <row r="5" customFormat="false" ht="39.75" hidden="false" customHeight="true" outlineLevel="0" collapsed="false">
      <c r="B5" s="13" t="s">
        <v>1322</v>
      </c>
      <c r="C5" s="19" t="s">
        <v>1323</v>
      </c>
      <c r="D5" s="19"/>
      <c r="E5" s="19"/>
      <c r="F5" s="19"/>
    </row>
    <row r="6" customFormat="false" ht="30" hidden="false" customHeight="true" outlineLevel="0" collapsed="false">
      <c r="B6" s="13" t="s">
        <v>1324</v>
      </c>
      <c r="C6" s="19" t="s">
        <v>1325</v>
      </c>
      <c r="D6" s="19"/>
      <c r="E6" s="19"/>
      <c r="F6" s="19"/>
    </row>
    <row r="8" customFormat="false" ht="15" hidden="false" customHeight="true" outlineLevel="0" collapsed="false">
      <c r="B8" s="11" t="s">
        <v>1326</v>
      </c>
      <c r="C8" s="15"/>
      <c r="D8" s="15"/>
      <c r="E8" s="15"/>
      <c r="F8" s="15"/>
    </row>
    <row r="9" customFormat="false" ht="30" hidden="false" customHeight="true" outlineLevel="0" collapsed="false">
      <c r="A9" s="16"/>
      <c r="B9" s="16" t="s">
        <v>1327</v>
      </c>
      <c r="C9" s="16" t="s">
        <v>1328</v>
      </c>
      <c r="D9" s="16" t="s">
        <v>1329</v>
      </c>
      <c r="E9" s="16" t="s">
        <v>1330</v>
      </c>
      <c r="F9" s="16"/>
    </row>
    <row r="10" customFormat="false" ht="15" hidden="false" customHeight="true" outlineLevel="0" collapsed="false">
      <c r="B10" s="17" t="s">
        <v>1331</v>
      </c>
      <c r="C10" s="25" t="n">
        <v>30</v>
      </c>
      <c r="D10" s="25" t="n">
        <v>12</v>
      </c>
      <c r="E10" s="26" t="n">
        <f aca="false">C10*D10</f>
        <v>360</v>
      </c>
    </row>
    <row r="11" customFormat="false" ht="15" hidden="false" customHeight="true" outlineLevel="0" collapsed="false">
      <c r="B11" s="17" t="s">
        <v>1332</v>
      </c>
      <c r="C11" s="25" t="n">
        <v>13</v>
      </c>
      <c r="D11" s="25" t="n">
        <v>7</v>
      </c>
      <c r="E11" s="26" t="n">
        <f aca="false">C11*D11</f>
        <v>91</v>
      </c>
    </row>
    <row r="12" customFormat="false" ht="15" hidden="false" customHeight="true" outlineLevel="0" collapsed="false">
      <c r="B12" s="17" t="s">
        <v>1333</v>
      </c>
      <c r="C12" s="25" t="n">
        <v>55</v>
      </c>
      <c r="D12" s="25" t="n">
        <v>4</v>
      </c>
      <c r="E12" s="26" t="n">
        <f aca="false">C12*D12</f>
        <v>220</v>
      </c>
    </row>
    <row r="13" customFormat="false" ht="15" hidden="false" customHeight="true" outlineLevel="0" collapsed="false">
      <c r="B13" s="17" t="s">
        <v>1334</v>
      </c>
      <c r="C13" s="25" t="n">
        <v>35</v>
      </c>
      <c r="D13" s="25" t="n">
        <v>5</v>
      </c>
      <c r="E13" s="26" t="n">
        <f aca="false">C13*D13</f>
        <v>175</v>
      </c>
    </row>
    <row r="14" customFormat="false" ht="15" hidden="false" customHeight="true" outlineLevel="0" collapsed="false">
      <c r="B14" s="17" t="s">
        <v>1335</v>
      </c>
      <c r="C14" s="25" t="n">
        <v>25</v>
      </c>
      <c r="D14" s="25" t="n">
        <v>4</v>
      </c>
      <c r="E14" s="26" t="n">
        <f aca="false">C14*D14</f>
        <v>100</v>
      </c>
    </row>
    <row r="15" customFormat="false" ht="15" hidden="false" customHeight="true" outlineLevel="0" collapsed="false">
      <c r="B15" s="29" t="s">
        <v>1336</v>
      </c>
      <c r="E15" s="30" t="n">
        <f aca="false">SUM(E10:E14)</f>
        <v>946</v>
      </c>
    </row>
    <row r="16" customFormat="false" ht="15" hidden="false" customHeight="true" outlineLevel="0" collapsed="false">
      <c r="B16" s="13" t="s">
        <v>1337</v>
      </c>
      <c r="E16" s="75" t="n">
        <v>1.19</v>
      </c>
      <c r="F16" s="19" t="s">
        <v>1338</v>
      </c>
    </row>
    <row r="17" customFormat="false" ht="15" hidden="false" customHeight="true" outlineLevel="0" collapsed="false">
      <c r="B17" s="13" t="s">
        <v>1339</v>
      </c>
      <c r="E17" s="46" t="n">
        <f aca="false">ROUND(E15*E16,0)</f>
        <v>1126</v>
      </c>
    </row>
    <row r="18" customFormat="false" ht="15" hidden="false" customHeight="true" outlineLevel="0" collapsed="false">
      <c r="B18" s="13" t="s">
        <v>1340</v>
      </c>
      <c r="E18" s="25" t="n">
        <v>46</v>
      </c>
      <c r="F18" s="19" t="s">
        <v>1341</v>
      </c>
    </row>
    <row r="19" customFormat="false" ht="15" hidden="false" customHeight="true" outlineLevel="0" collapsed="false">
      <c r="B19" s="13" t="s">
        <v>1342</v>
      </c>
      <c r="E19" s="48" t="n">
        <f aca="false">ROUND(E17*E18/1000,1)</f>
        <v>51.8</v>
      </c>
    </row>
    <row r="21" customFormat="false" ht="15" hidden="false" customHeight="true" outlineLevel="0" collapsed="false">
      <c r="B21" s="11" t="s">
        <v>1343</v>
      </c>
      <c r="C21" s="15"/>
      <c r="D21" s="15"/>
      <c r="E21" s="15"/>
      <c r="F21" s="15"/>
    </row>
    <row r="22" customFormat="false" ht="15" hidden="false" customHeight="true" outlineLevel="0" collapsed="false">
      <c r="B22" s="13" t="s">
        <v>1344</v>
      </c>
      <c r="C22" s="79" t="s">
        <v>1345</v>
      </c>
      <c r="D22" s="79" t="s">
        <v>1346</v>
      </c>
    </row>
    <row r="23" customFormat="false" ht="15" hidden="false" customHeight="true" outlineLevel="0" collapsed="false">
      <c r="B23" s="17" t="s">
        <v>1347</v>
      </c>
      <c r="C23" s="68" t="s">
        <v>1348</v>
      </c>
      <c r="D23" s="75" t="n">
        <v>3.72</v>
      </c>
    </row>
    <row r="24" customFormat="false" ht="15" hidden="false" customHeight="true" outlineLevel="0" collapsed="false">
      <c r="B24" s="17" t="s">
        <v>1349</v>
      </c>
      <c r="C24" s="68" t="s">
        <v>732</v>
      </c>
      <c r="D24" s="75" t="n">
        <v>4.05</v>
      </c>
    </row>
    <row r="25" customFormat="false" ht="15" hidden="false" customHeight="true" outlineLevel="0" collapsed="false">
      <c r="B25" s="17" t="s">
        <v>1350</v>
      </c>
      <c r="C25" s="68" t="s">
        <v>732</v>
      </c>
      <c r="D25" s="75" t="n">
        <v>5.65</v>
      </c>
    </row>
    <row r="26" customFormat="false" ht="15" hidden="false" customHeight="true" outlineLevel="0" collapsed="false">
      <c r="B26" s="17" t="s">
        <v>1351</v>
      </c>
      <c r="C26" s="68" t="s">
        <v>1348</v>
      </c>
      <c r="D26" s="75" t="n">
        <v>3.29</v>
      </c>
    </row>
    <row r="27" customFormat="false" ht="15" hidden="false" customHeight="true" outlineLevel="0" collapsed="false">
      <c r="B27" s="17" t="s">
        <v>1352</v>
      </c>
      <c r="C27" s="68" t="s">
        <v>734</v>
      </c>
      <c r="D27" s="75" t="n">
        <v>3.12</v>
      </c>
    </row>
    <row r="28" customFormat="false" ht="15" hidden="false" customHeight="true" outlineLevel="0" collapsed="false">
      <c r="B28" s="13" t="s">
        <v>1353</v>
      </c>
      <c r="D28" s="80" t="n">
        <f aca="false">SUM(D23:D27)</f>
        <v>19.83</v>
      </c>
    </row>
    <row r="29" customFormat="false" ht="15" hidden="false" customHeight="true" outlineLevel="0" collapsed="false">
      <c r="B29" s="13" t="s">
        <v>1354</v>
      </c>
      <c r="D29" s="81" t="n">
        <f aca="false">0.91+0.01*D28</f>
        <v>1.1083</v>
      </c>
    </row>
    <row r="30" customFormat="false" ht="30" hidden="false" customHeight="true" outlineLevel="0" collapsed="false">
      <c r="B30" s="13" t="s">
        <v>1355</v>
      </c>
      <c r="D30" s="82" t="n">
        <v>1.012</v>
      </c>
      <c r="F30" s="19" t="s">
        <v>1356</v>
      </c>
    </row>
    <row r="32" customFormat="false" ht="15" hidden="false" customHeight="true" outlineLevel="0" collapsed="false">
      <c r="B32" s="11" t="s">
        <v>1357</v>
      </c>
      <c r="C32" s="15"/>
      <c r="D32" s="15"/>
      <c r="E32" s="15"/>
      <c r="F32" s="15"/>
    </row>
    <row r="33" customFormat="false" ht="15" hidden="false" customHeight="true" outlineLevel="0" collapsed="false">
      <c r="B33" s="13" t="s">
        <v>1358</v>
      </c>
      <c r="D33" s="46" t="n">
        <f aca="false">ROUND(2.94*E19^D29*D30,0)</f>
        <v>236</v>
      </c>
    </row>
    <row r="34" customFormat="false" ht="15" hidden="false" customHeight="true" outlineLevel="0" collapsed="false">
      <c r="B34" s="13" t="s">
        <v>1359</v>
      </c>
      <c r="D34" s="25" t="n">
        <v>19</v>
      </c>
    </row>
    <row r="35" customFormat="false" ht="15" hidden="false" customHeight="true" outlineLevel="0" collapsed="false">
      <c r="B35" s="13" t="s">
        <v>1360</v>
      </c>
      <c r="D35" s="46" t="n">
        <f aca="false">ROUND(D33*D34,0)</f>
        <v>4484</v>
      </c>
    </row>
    <row r="36" customFormat="false" ht="15" hidden="false" customHeight="true" outlineLevel="0" collapsed="false">
      <c r="B36" s="17" t="s">
        <v>1361</v>
      </c>
      <c r="D36" s="26" t="n">
        <f aca="false">ROUND(D35*0.07,0)</f>
        <v>314</v>
      </c>
    </row>
    <row r="37" customFormat="false" ht="18.75" hidden="false" customHeight="true" outlineLevel="0" collapsed="false">
      <c r="B37" s="17" t="s">
        <v>1362</v>
      </c>
      <c r="D37" s="70" t="n">
        <v>284</v>
      </c>
      <c r="F37" s="19" t="s">
        <v>1363</v>
      </c>
    </row>
    <row r="38" customFormat="false" ht="15" hidden="false" customHeight="true" outlineLevel="0" collapsed="false">
      <c r="A38" s="31"/>
      <c r="B38" s="32" t="s">
        <v>1364</v>
      </c>
      <c r="C38" s="31"/>
      <c r="D38" s="33" t="n">
        <f aca="false">D35+D36+D37</f>
        <v>5082</v>
      </c>
      <c r="E38" s="31"/>
      <c r="F38" s="31"/>
    </row>
    <row r="40" customFormat="false" ht="15" hidden="false" customHeight="true" outlineLevel="0" collapsed="false">
      <c r="B40" s="13" t="s">
        <v>1365</v>
      </c>
      <c r="D40" s="70" t="n">
        <v>3426</v>
      </c>
    </row>
    <row r="41" customFormat="false" ht="18.75" hidden="false" customHeight="true" outlineLevel="0" collapsed="false">
      <c r="B41" s="83" t="s">
        <v>831</v>
      </c>
      <c r="D41" s="84" t="n">
        <f aca="false">IFERROR((D38-D40)/D40,0)</f>
        <v>0.483362521891419</v>
      </c>
      <c r="F41" s="19" t="s">
        <v>1366</v>
      </c>
    </row>
    <row r="43" customFormat="false" ht="57.75" hidden="false" customHeight="true" outlineLevel="0" collapsed="false">
      <c r="B43" s="13" t="s">
        <v>1367</v>
      </c>
      <c r="C43" s="19" t="s">
        <v>1368</v>
      </c>
      <c r="D43" s="19"/>
      <c r="E43" s="19"/>
      <c r="F43" s="19"/>
    </row>
    <row r="45" customFormat="false" ht="15" hidden="false" customHeight="true" outlineLevel="0" collapsed="false">
      <c r="B45" s="11" t="s">
        <v>1369</v>
      </c>
      <c r="C45" s="15"/>
      <c r="D45" s="15"/>
      <c r="E45" s="15"/>
      <c r="F45" s="15"/>
    </row>
    <row r="46" customFormat="false" ht="18.75" hidden="false" customHeight="true" outlineLevel="0" collapsed="false">
      <c r="B46" s="13" t="s">
        <v>1370</v>
      </c>
      <c r="D46" s="48" t="n">
        <v>31.4</v>
      </c>
      <c r="F46" s="19" t="s">
        <v>1371</v>
      </c>
    </row>
    <row r="48" customFormat="false" ht="15" hidden="false" customHeight="true" outlineLevel="0" collapsed="false">
      <c r="B48" s="79" t="s">
        <v>1372</v>
      </c>
      <c r="C48" s="79" t="s">
        <v>1373</v>
      </c>
      <c r="D48" s="79" t="s">
        <v>1374</v>
      </c>
      <c r="F48" s="13" t="s">
        <v>784</v>
      </c>
    </row>
    <row r="49" customFormat="false" ht="15" hidden="false" customHeight="true" outlineLevel="0" collapsed="false">
      <c r="B49" s="85" t="n">
        <v>25</v>
      </c>
      <c r="C49" s="26" t="n">
        <v>2728</v>
      </c>
      <c r="D49" s="86" t="n">
        <v>-0.203701755493409</v>
      </c>
      <c r="F49" s="19" t="s">
        <v>1375</v>
      </c>
    </row>
    <row r="50" customFormat="false" ht="18.75" hidden="false" customHeight="true" outlineLevel="0" collapsed="false">
      <c r="B50" s="87" t="n">
        <v>31</v>
      </c>
      <c r="C50" s="88" t="n">
        <v>3386</v>
      </c>
      <c r="D50" s="89" t="n">
        <v>-0.0116345772878677</v>
      </c>
      <c r="F50" s="90" t="s">
        <v>1376</v>
      </c>
    </row>
    <row r="51" customFormat="false" ht="15" hidden="false" customHeight="true" outlineLevel="0" collapsed="false">
      <c r="B51" s="85" t="n">
        <v>35</v>
      </c>
      <c r="C51" s="26" t="n">
        <v>3833</v>
      </c>
      <c r="D51" s="86" t="n">
        <v>0.118725480307386</v>
      </c>
      <c r="F51" s="19" t="s">
        <v>1377</v>
      </c>
    </row>
    <row r="52" customFormat="false" ht="15" hidden="false" customHeight="true" outlineLevel="0" collapsed="false">
      <c r="B52" s="85" t="n">
        <v>40</v>
      </c>
      <c r="C52" s="26" t="n">
        <v>4399</v>
      </c>
      <c r="D52" s="86" t="n">
        <v>0.283945123205753</v>
      </c>
      <c r="F52" s="19" t="s">
        <v>1378</v>
      </c>
    </row>
    <row r="53" customFormat="false" ht="15" hidden="false" customHeight="true" outlineLevel="0" collapsed="false">
      <c r="B53" s="85" t="n">
        <v>46</v>
      </c>
      <c r="C53" s="26" t="n">
        <v>5088</v>
      </c>
      <c r="D53" s="86" t="n">
        <v>0.485167839729924</v>
      </c>
      <c r="F53" s="19" t="s">
        <v>1379</v>
      </c>
    </row>
    <row r="54" customFormat="false" ht="15" hidden="false" customHeight="true" outlineLevel="0" collapsed="false">
      <c r="B54" s="85" t="n">
        <v>55</v>
      </c>
      <c r="C54" s="26" t="n">
        <v>6140</v>
      </c>
      <c r="D54" s="86" t="n">
        <v>0.792288145671282</v>
      </c>
      <c r="F54" s="19" t="s">
        <v>1380</v>
      </c>
    </row>
    <row r="56" customFormat="false" ht="67.5" hidden="false" customHeight="true" outlineLevel="0" collapsed="false">
      <c r="B56" s="13" t="s">
        <v>1381</v>
      </c>
      <c r="C56" s="19" t="s">
        <v>1382</v>
      </c>
      <c r="D56" s="19"/>
      <c r="E56" s="19"/>
      <c r="F56" s="19"/>
    </row>
  </sheetData>
  <sheetProtection sheet="true"/>
  <mergeCells count="4">
    <mergeCell ref="C5:F5"/>
    <mergeCell ref="C6:F6"/>
    <mergeCell ref="C43:F43"/>
    <mergeCell ref="C56:F56"/>
  </mergeCells>
  <dataValidations count="1">
    <dataValidation allowBlank="true" error="This must be a number of zero or more." errorStyle="stop" errorTitle="Not a number" operator="between" prompt="This must be a number of zero or more." promptTitle="Input cell" showDropDown="false" showErrorMessage="true" showInputMessage="false" sqref="C10:D14 E16 E18 D23:D27 D30 D34" type="decimal">
      <formula1>0</formula1>
      <formula2>1000000000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2"/>
    <col collapsed="false" customWidth="true" hidden="false" outlineLevel="0" max="3" min="3" style="1" width="26"/>
    <col collapsed="false" customWidth="true" hidden="false" outlineLevel="0" max="4" min="4" style="1" width="13"/>
    <col collapsed="false" customWidth="true" hidden="false" outlineLevel="0" max="5" min="5" style="1" width="11"/>
    <col collapsed="false" customWidth="true" hidden="false" outlineLevel="0" max="7" min="6" style="1" width="13"/>
    <col collapsed="false" customWidth="true" hidden="false" outlineLevel="0" max="8" min="8" style="1" width="44"/>
  </cols>
  <sheetData>
    <row r="1" customFormat="false" ht="17.25" hidden="false" customHeight="true" outlineLevel="0" collapsed="false">
      <c r="A1" s="2" t="s">
        <v>1383</v>
      </c>
    </row>
    <row r="2" customFormat="false" ht="15" hidden="false" customHeight="true" outlineLevel="0" collapsed="false">
      <c r="A2" s="3" t="s">
        <v>1384</v>
      </c>
    </row>
    <row r="4" customFormat="false" ht="30" hidden="false" customHeight="true" outlineLevel="0" collapsed="false">
      <c r="A4" s="16" t="s">
        <v>95</v>
      </c>
      <c r="B4" s="16" t="s">
        <v>1385</v>
      </c>
      <c r="C4" s="16" t="s">
        <v>1386</v>
      </c>
      <c r="D4" s="16" t="s">
        <v>1387</v>
      </c>
      <c r="E4" s="16" t="s">
        <v>1388</v>
      </c>
      <c r="F4" s="16" t="s">
        <v>1389</v>
      </c>
      <c r="G4" s="16" t="s">
        <v>1390</v>
      </c>
      <c r="H4" s="16" t="s">
        <v>1391</v>
      </c>
    </row>
    <row r="5" customFormat="false" ht="25.5" hidden="false" customHeight="true" outlineLevel="0" collapsed="false">
      <c r="A5" s="17" t="s">
        <v>1392</v>
      </c>
      <c r="B5" s="14" t="s">
        <v>1393</v>
      </c>
      <c r="C5" s="91" t="s">
        <v>1394</v>
      </c>
      <c r="D5" s="70" t="n">
        <f aca="false">'Effort - Mobile &amp; IPRS'!G56+'Effort - Website'!G72</f>
        <v>62</v>
      </c>
      <c r="E5" s="92" t="n">
        <v>0.42</v>
      </c>
      <c r="F5" s="26" t="n">
        <f aca="false">ROUND(D5*E5,0)</f>
        <v>26</v>
      </c>
      <c r="G5" s="68" t="str">
        <f aca="false">IF(F5&gt;D5,"OVER-CLAIM","ok")</f>
        <v>ok</v>
      </c>
      <c r="H5" s="19" t="s">
        <v>1395</v>
      </c>
    </row>
    <row r="6" customFormat="false" ht="25.5" hidden="false" customHeight="true" outlineLevel="0" collapsed="false">
      <c r="A6" s="17" t="s">
        <v>1396</v>
      </c>
      <c r="B6" s="14" t="s">
        <v>1397</v>
      </c>
      <c r="C6" s="91" t="s">
        <v>1398</v>
      </c>
      <c r="D6" s="70" t="n">
        <f aca="false">'Effort - Mobile &amp; IPRS'!G20+'Effort - Website'!G55+'Effort - Website'!G57+'Effort - Website'!G58+'Effort - Website'!G59+'Effort - Website'!G60</f>
        <v>168</v>
      </c>
      <c r="E6" s="92" t="n">
        <v>0.62</v>
      </c>
      <c r="F6" s="26" t="n">
        <f aca="false">ROUND(D6*E6,0)</f>
        <v>104</v>
      </c>
      <c r="G6" s="68" t="str">
        <f aca="false">IF(F6&gt;D6,"OVER-CLAIM","ok")</f>
        <v>ok</v>
      </c>
      <c r="H6" s="19" t="s">
        <v>1399</v>
      </c>
    </row>
    <row r="7" customFormat="false" ht="25.5" hidden="false" customHeight="true" outlineLevel="0" collapsed="false">
      <c r="A7" s="17" t="s">
        <v>1400</v>
      </c>
      <c r="B7" s="14" t="s">
        <v>1401</v>
      </c>
      <c r="C7" s="91" t="s">
        <v>1402</v>
      </c>
      <c r="D7" s="70" t="n">
        <f aca="false">'Effort - Mobile &amp; IPRS'!G51+'Effort - Website'!G58</f>
        <v>34</v>
      </c>
      <c r="E7" s="92" t="n">
        <v>0.55</v>
      </c>
      <c r="F7" s="26" t="n">
        <f aca="false">ROUND(D7*E7,0)</f>
        <v>19</v>
      </c>
      <c r="G7" s="68" t="str">
        <f aca="false">IF(F7&gt;D7,"OVER-CLAIM","ok")</f>
        <v>ok</v>
      </c>
      <c r="H7" s="19" t="s">
        <v>1403</v>
      </c>
    </row>
    <row r="8" customFormat="false" ht="25.5" hidden="false" customHeight="true" outlineLevel="0" collapsed="false">
      <c r="A8" s="17" t="s">
        <v>1404</v>
      </c>
      <c r="B8" s="14" t="s">
        <v>1405</v>
      </c>
      <c r="C8" s="91" t="s">
        <v>1406</v>
      </c>
      <c r="D8" s="70" t="n">
        <f aca="false">'Effort - Mobile &amp; IPRS'!G55+'Effort - Mobile &amp; IPRS'!G41+'Effort - Website'!G71</f>
        <v>65</v>
      </c>
      <c r="E8" s="92" t="n">
        <v>0.52</v>
      </c>
      <c r="F8" s="26" t="n">
        <f aca="false">ROUND(D8*E8,0)</f>
        <v>34</v>
      </c>
      <c r="G8" s="68" t="str">
        <f aca="false">IF(F8&gt;D8,"OVER-CLAIM","ok")</f>
        <v>ok</v>
      </c>
      <c r="H8" s="19" t="s">
        <v>1407</v>
      </c>
    </row>
    <row r="9" customFormat="false" ht="25.5" hidden="false" customHeight="true" outlineLevel="0" collapsed="false">
      <c r="A9" s="17" t="s">
        <v>1408</v>
      </c>
      <c r="B9" s="14" t="s">
        <v>1409</v>
      </c>
      <c r="C9" s="91" t="s">
        <v>1410</v>
      </c>
      <c r="D9" s="70" t="n">
        <f aca="false">'Effort - Mobile &amp; IPRS'!G45+'Effort - Website'!G22</f>
        <v>45</v>
      </c>
      <c r="E9" s="92" t="n">
        <v>0.55</v>
      </c>
      <c r="F9" s="26" t="n">
        <f aca="false">ROUND(D9*E9,0)</f>
        <v>25</v>
      </c>
      <c r="G9" s="68" t="str">
        <f aca="false">IF(F9&gt;D9,"OVER-CLAIM","ok")</f>
        <v>ok</v>
      </c>
      <c r="H9" s="19" t="s">
        <v>1411</v>
      </c>
    </row>
    <row r="10" customFormat="false" ht="25.5" hidden="false" customHeight="true" outlineLevel="0" collapsed="false">
      <c r="A10" s="17" t="s">
        <v>1412</v>
      </c>
      <c r="B10" s="14" t="s">
        <v>1413</v>
      </c>
      <c r="C10" s="91" t="s">
        <v>1414</v>
      </c>
      <c r="D10" s="70" t="n">
        <f aca="false">'Effort - Mobile &amp; IPRS'!G43+'Effort - Mobile &amp; IPRS'!G44+'Effort - Website'!G67+'Effort - Website'!G68+'Effort - Website'!G69</f>
        <v>133</v>
      </c>
      <c r="E10" s="92" t="n">
        <v>0.35</v>
      </c>
      <c r="F10" s="26" t="n">
        <f aca="false">ROUND(D10*E10,0)</f>
        <v>47</v>
      </c>
      <c r="G10" s="68" t="str">
        <f aca="false">IF(F10&gt;D10,"OVER-CLAIM","ok")</f>
        <v>ok</v>
      </c>
      <c r="H10" s="19" t="s">
        <v>1415</v>
      </c>
    </row>
    <row r="11" customFormat="false" ht="25.5" hidden="false" customHeight="true" outlineLevel="0" collapsed="false">
      <c r="A11" s="17" t="s">
        <v>1416</v>
      </c>
      <c r="B11" s="14" t="s">
        <v>1417</v>
      </c>
      <c r="C11" s="91" t="s">
        <v>1418</v>
      </c>
      <c r="D11" s="70" t="n">
        <f aca="false">'Effort - Mobile &amp; IPRS'!G59+'Effort - Website'!G83+'Effort - Website'!G84+'Effort - Website'!G85</f>
        <v>123</v>
      </c>
      <c r="E11" s="92" t="n">
        <v>0.36</v>
      </c>
      <c r="F11" s="26" t="n">
        <f aca="false">ROUND(D11*E11,0)</f>
        <v>44</v>
      </c>
      <c r="G11" s="68" t="str">
        <f aca="false">IF(F11&gt;D11,"OVER-CLAIM","ok")</f>
        <v>ok</v>
      </c>
      <c r="H11" s="19" t="s">
        <v>1419</v>
      </c>
    </row>
    <row r="12" customFormat="false" ht="25.5" hidden="false" customHeight="true" outlineLevel="0" collapsed="false">
      <c r="A12" s="17" t="s">
        <v>1420</v>
      </c>
      <c r="B12" s="14" t="s">
        <v>1421</v>
      </c>
      <c r="C12" s="91" t="s">
        <v>1422</v>
      </c>
      <c r="D12" s="70" t="n">
        <f aca="false">'Effort - Mobile &amp; IPRS'!G11+'Effort - Website'!G11+'Effort - Mobile &amp; IPRS'!G26+'Effort - Website'!G41</f>
        <v>123</v>
      </c>
      <c r="E12" s="92" t="n">
        <v>0.25</v>
      </c>
      <c r="F12" s="26" t="n">
        <f aca="false">ROUND(D12*E12,0)</f>
        <v>31</v>
      </c>
      <c r="G12" s="68" t="str">
        <f aca="false">IF(F12&gt;D12,"OVER-CLAIM","ok")</f>
        <v>ok</v>
      </c>
      <c r="H12" s="19" t="s">
        <v>1423</v>
      </c>
    </row>
    <row r="13" customFormat="false" ht="25.5" hidden="false" customHeight="true" outlineLevel="0" collapsed="false">
      <c r="A13" s="17" t="s">
        <v>1424</v>
      </c>
      <c r="B13" s="14" t="s">
        <v>1425</v>
      </c>
      <c r="C13" s="91" t="s">
        <v>1426</v>
      </c>
      <c r="D13" s="70" t="n">
        <f aca="false">'Effort - Mobile &amp; IPRS'!G74+'Effort - Mobile &amp; IPRS'!G75+'Effort - Website'!G101+'Effort - Website'!G102</f>
        <v>252</v>
      </c>
      <c r="E13" s="92" t="n">
        <v>0.29</v>
      </c>
      <c r="F13" s="26" t="n">
        <f aca="false">ROUND(D13*E13,0)</f>
        <v>73</v>
      </c>
      <c r="G13" s="68" t="str">
        <f aca="false">IF(F13&gt;D13,"OVER-CLAIM","ok")</f>
        <v>ok</v>
      </c>
      <c r="H13" s="19" t="s">
        <v>1427</v>
      </c>
    </row>
    <row r="14" customFormat="false" ht="25.5" hidden="false" customHeight="true" outlineLevel="0" collapsed="false">
      <c r="A14" s="17" t="s">
        <v>1428</v>
      </c>
      <c r="B14" s="14" t="s">
        <v>1429</v>
      </c>
      <c r="C14" s="91" t="s">
        <v>1430</v>
      </c>
      <c r="D14" s="70" t="n">
        <f aca="false">'Effort - Mobile &amp; IPRS'!G27+'Effort - Mobile &amp; IPRS'!G60+'Effort - Website'!G86+'Effort - Website'!G87</f>
        <v>112</v>
      </c>
      <c r="E14" s="92" t="n">
        <v>0.33</v>
      </c>
      <c r="F14" s="26" t="n">
        <f aca="false">ROUND(D14*E14,0)</f>
        <v>37</v>
      </c>
      <c r="G14" s="68" t="str">
        <f aca="false">IF(F14&gt;D14,"OVER-CLAIM","ok")</f>
        <v>ok</v>
      </c>
      <c r="H14" s="19" t="s">
        <v>1431</v>
      </c>
    </row>
    <row r="15" customFormat="false" ht="25.5" hidden="false" customHeight="true" outlineLevel="0" collapsed="false">
      <c r="A15" s="17" t="s">
        <v>1432</v>
      </c>
      <c r="B15" s="14" t="s">
        <v>1433</v>
      </c>
      <c r="C15" s="91" t="s">
        <v>1434</v>
      </c>
      <c r="D15" s="70" t="n">
        <f aca="false">'Effort - Mobile &amp; IPRS'!G64+'Effort - Mobile &amp; IPRS'!G65+'Effort - Mobile &amp; IPRS'!G66+'Effort - Website'!G91+'Effort - Website'!G92+'Effort - Website'!G93</f>
        <v>283</v>
      </c>
      <c r="E15" s="92" t="n">
        <v>0.19</v>
      </c>
      <c r="F15" s="26" t="n">
        <f aca="false">ROUND(D15*E15,0)</f>
        <v>54</v>
      </c>
      <c r="G15" s="68" t="str">
        <f aca="false">IF(F15&gt;D15,"OVER-CLAIM","ok")</f>
        <v>ok</v>
      </c>
      <c r="H15" s="19" t="s">
        <v>1435</v>
      </c>
    </row>
    <row r="16" customFormat="false" ht="25.5" hidden="false" customHeight="true" outlineLevel="0" collapsed="false">
      <c r="A16" s="17" t="s">
        <v>1436</v>
      </c>
      <c r="B16" s="14" t="s">
        <v>1437</v>
      </c>
      <c r="C16" s="91" t="s">
        <v>1438</v>
      </c>
      <c r="D16" s="70" t="n">
        <f aca="false">'Effort - Website'!G56+'Effort - Website'!G63+'Effort - Website'!G76+'Effort - Website'!G77</f>
        <v>123</v>
      </c>
      <c r="E16" s="92" t="n">
        <v>0.24</v>
      </c>
      <c r="F16" s="26" t="n">
        <f aca="false">ROUND(D16*E16,0)</f>
        <v>30</v>
      </c>
      <c r="G16" s="68" t="str">
        <f aca="false">IF(F16&gt;D16,"OVER-CLAIM","ok")</f>
        <v>ok</v>
      </c>
      <c r="H16" s="19" t="s">
        <v>1439</v>
      </c>
    </row>
    <row r="17" customFormat="false" ht="15" hidden="false" customHeight="true" outlineLevel="0" collapsed="false">
      <c r="A17" s="31"/>
      <c r="B17" s="32" t="s">
        <v>1440</v>
      </c>
      <c r="C17" s="33"/>
      <c r="D17" s="69" t="n">
        <f aca="false">SUM(D5:D16)</f>
        <v>1523</v>
      </c>
      <c r="E17" s="31"/>
      <c r="F17" s="33" t="n">
        <f aca="false">SUM(F5:F16)</f>
        <v>524</v>
      </c>
      <c r="G17" s="93" t="str">
        <f aca="false">IF(COUNTIF(G5:G16,"OVER-CLAIM")&gt;0,"CHECK","ok")</f>
        <v>ok</v>
      </c>
      <c r="H17" s="31"/>
    </row>
  </sheetData>
  <sheetProtection sheet="true"/>
  <dataValidations count="1">
    <dataValidation allowBlank="true" error="A percentage must lie between 0 and 1 (0.28 means 28%)." errorStyle="stop" errorTitle="Out of range" operator="between" prompt="A percentage must lie between 0 and 1 (0.28 means 28%)." promptTitle="Input cell" showDropDown="false" showErrorMessage="true" showInputMessage="false" sqref="E5:E16"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2"/>
    <col collapsed="false" customWidth="true" hidden="false" outlineLevel="0" max="3" min="3" style="1" width="11"/>
    <col collapsed="false" customWidth="true" hidden="false" outlineLevel="0" max="4" min="4" style="1" width="12"/>
    <col collapsed="false" customWidth="true" hidden="false" outlineLevel="0" max="6" min="5" style="1" width="15"/>
    <col collapsed="false" customWidth="true" hidden="false" outlineLevel="0" max="7" min="7" style="1" width="58"/>
  </cols>
  <sheetData>
    <row r="1" customFormat="false" ht="17.25" hidden="false" customHeight="true" outlineLevel="0" collapsed="false">
      <c r="A1" s="2" t="s">
        <v>1441</v>
      </c>
    </row>
    <row r="2" customFormat="false" ht="15" hidden="false" customHeight="true" outlineLevel="0" collapsed="false">
      <c r="A2" s="3" t="s">
        <v>1442</v>
      </c>
    </row>
    <row r="4" customFormat="false" ht="30" hidden="false" customHeight="true" outlineLevel="0" collapsed="false">
      <c r="A4" s="16" t="s">
        <v>95</v>
      </c>
      <c r="B4" s="16" t="s">
        <v>1443</v>
      </c>
      <c r="C4" s="16" t="s">
        <v>1444</v>
      </c>
      <c r="D4" s="16" t="s">
        <v>76</v>
      </c>
      <c r="E4" s="16" t="s">
        <v>1445</v>
      </c>
      <c r="F4" s="16" t="s">
        <v>1446</v>
      </c>
      <c r="G4" s="16" t="s">
        <v>1447</v>
      </c>
    </row>
    <row r="5" customFormat="false" ht="30" hidden="false" customHeight="true" outlineLevel="0" collapsed="false">
      <c r="A5" s="17" t="s">
        <v>1033</v>
      </c>
      <c r="B5" s="14" t="s">
        <v>1448</v>
      </c>
      <c r="C5" s="94" t="s">
        <v>1449</v>
      </c>
      <c r="D5" s="92" t="n">
        <v>0.55</v>
      </c>
      <c r="E5" s="25" t="n">
        <v>320</v>
      </c>
      <c r="F5" s="26" t="n">
        <v>176</v>
      </c>
      <c r="G5" s="19" t="s">
        <v>1450</v>
      </c>
    </row>
    <row r="6" customFormat="false" ht="30" hidden="false" customHeight="true" outlineLevel="0" collapsed="false">
      <c r="A6" s="17" t="s">
        <v>1036</v>
      </c>
      <c r="B6" s="14" t="s">
        <v>1451</v>
      </c>
      <c r="C6" s="94" t="s">
        <v>1449</v>
      </c>
      <c r="D6" s="92" t="n">
        <v>0.7</v>
      </c>
      <c r="E6" s="25" t="n">
        <v>35</v>
      </c>
      <c r="F6" s="26" t="n">
        <v>24</v>
      </c>
      <c r="G6" s="19" t="s">
        <v>1452</v>
      </c>
    </row>
    <row r="7" customFormat="false" ht="30" hidden="false" customHeight="true" outlineLevel="0" collapsed="false">
      <c r="A7" s="17" t="s">
        <v>1038</v>
      </c>
      <c r="B7" s="14" t="s">
        <v>1453</v>
      </c>
      <c r="C7" s="94" t="s">
        <v>1449</v>
      </c>
      <c r="D7" s="92" t="n">
        <v>0.35</v>
      </c>
      <c r="E7" s="25" t="n">
        <v>30</v>
      </c>
      <c r="F7" s="26" t="n">
        <v>10</v>
      </c>
      <c r="G7" s="19" t="s">
        <v>1454</v>
      </c>
    </row>
    <row r="8" customFormat="false" ht="30" hidden="false" customHeight="true" outlineLevel="0" collapsed="false">
      <c r="A8" s="17" t="s">
        <v>1041</v>
      </c>
      <c r="B8" s="14" t="s">
        <v>1455</v>
      </c>
      <c r="C8" s="94" t="s">
        <v>1449</v>
      </c>
      <c r="D8" s="92" t="n">
        <v>0.6</v>
      </c>
      <c r="E8" s="25" t="n">
        <v>55</v>
      </c>
      <c r="F8" s="26" t="n">
        <v>33</v>
      </c>
      <c r="G8" s="19" t="s">
        <v>1456</v>
      </c>
    </row>
    <row r="9" customFormat="false" ht="30" hidden="false" customHeight="true" outlineLevel="0" collapsed="false">
      <c r="A9" s="17" t="s">
        <v>1043</v>
      </c>
      <c r="B9" s="14" t="s">
        <v>1457</v>
      </c>
      <c r="C9" s="94" t="s">
        <v>1449</v>
      </c>
      <c r="D9" s="92" t="n">
        <v>0.45</v>
      </c>
      <c r="E9" s="25" t="n">
        <v>40</v>
      </c>
      <c r="F9" s="26" t="n">
        <v>18</v>
      </c>
      <c r="G9" s="19" t="s">
        <v>1458</v>
      </c>
    </row>
    <row r="10" customFormat="false" ht="30" hidden="false" customHeight="true" outlineLevel="0" collapsed="false">
      <c r="A10" s="17" t="s">
        <v>1045</v>
      </c>
      <c r="B10" s="14" t="s">
        <v>1459</v>
      </c>
      <c r="C10" s="94" t="s">
        <v>1449</v>
      </c>
      <c r="D10" s="92" t="n">
        <v>0.35</v>
      </c>
      <c r="E10" s="25" t="n">
        <v>15</v>
      </c>
      <c r="F10" s="26" t="n">
        <v>5</v>
      </c>
      <c r="G10" s="19" t="s">
        <v>1460</v>
      </c>
    </row>
    <row r="11" customFormat="false" ht="30" hidden="false" customHeight="true" outlineLevel="0" collapsed="false">
      <c r="A11" s="17" t="s">
        <v>1047</v>
      </c>
      <c r="B11" s="14" t="s">
        <v>1461</v>
      </c>
      <c r="C11" s="94" t="s">
        <v>1449</v>
      </c>
      <c r="D11" s="92" t="n">
        <v>0.4</v>
      </c>
      <c r="E11" s="25" t="n">
        <v>15</v>
      </c>
      <c r="F11" s="26" t="n">
        <v>6</v>
      </c>
      <c r="G11" s="19" t="s">
        <v>1462</v>
      </c>
    </row>
    <row r="12" customFormat="false" ht="30" hidden="false" customHeight="true" outlineLevel="0" collapsed="false">
      <c r="A12" s="17" t="s">
        <v>1050</v>
      </c>
      <c r="B12" s="14" t="s">
        <v>1463</v>
      </c>
      <c r="C12" s="94" t="s">
        <v>1449</v>
      </c>
      <c r="D12" s="92" t="n">
        <v>0.5</v>
      </c>
      <c r="E12" s="25" t="n">
        <v>40</v>
      </c>
      <c r="F12" s="26" t="n">
        <v>20</v>
      </c>
      <c r="G12" s="19" t="s">
        <v>1464</v>
      </c>
    </row>
    <row r="13" customFormat="false" ht="30" hidden="false" customHeight="true" outlineLevel="0" collapsed="false">
      <c r="A13" s="17" t="s">
        <v>1465</v>
      </c>
      <c r="B13" s="14" t="s">
        <v>1466</v>
      </c>
      <c r="C13" s="94" t="s">
        <v>1449</v>
      </c>
      <c r="D13" s="92" t="n">
        <v>0.45</v>
      </c>
      <c r="E13" s="25" t="n">
        <v>22</v>
      </c>
      <c r="F13" s="26" t="n">
        <v>10</v>
      </c>
      <c r="G13" s="19" t="s">
        <v>1467</v>
      </c>
    </row>
    <row r="14" customFormat="false" ht="30" hidden="false" customHeight="true" outlineLevel="0" collapsed="false">
      <c r="A14" s="17" t="s">
        <v>1468</v>
      </c>
      <c r="B14" s="14" t="s">
        <v>1469</v>
      </c>
      <c r="C14" s="94" t="s">
        <v>1449</v>
      </c>
      <c r="D14" s="92" t="n">
        <v>0.3</v>
      </c>
      <c r="E14" s="25" t="n">
        <v>5</v>
      </c>
      <c r="F14" s="26" t="n">
        <v>2</v>
      </c>
      <c r="G14" s="19" t="s">
        <v>1470</v>
      </c>
    </row>
    <row r="15" customFormat="false" ht="30" hidden="false" customHeight="true" outlineLevel="0" collapsed="false">
      <c r="A15" s="17" t="s">
        <v>1471</v>
      </c>
      <c r="B15" s="14" t="s">
        <v>1472</v>
      </c>
      <c r="C15" s="94" t="s">
        <v>1449</v>
      </c>
      <c r="D15" s="92" t="n">
        <v>0.65</v>
      </c>
      <c r="E15" s="25" t="n">
        <v>25</v>
      </c>
      <c r="F15" s="26" t="n">
        <v>16</v>
      </c>
      <c r="G15" s="19" t="s">
        <v>1473</v>
      </c>
    </row>
    <row r="16" customFormat="false" ht="30" hidden="false" customHeight="true" outlineLevel="0" collapsed="false">
      <c r="A16" s="17" t="s">
        <v>1474</v>
      </c>
      <c r="B16" s="14" t="s">
        <v>1475</v>
      </c>
      <c r="C16" s="94" t="s">
        <v>1449</v>
      </c>
      <c r="D16" s="92" t="n">
        <v>0.8</v>
      </c>
      <c r="E16" s="25" t="n">
        <v>150</v>
      </c>
      <c r="F16" s="26" t="n">
        <v>120</v>
      </c>
      <c r="G16" s="19" t="s">
        <v>1476</v>
      </c>
    </row>
    <row r="17" customFormat="false" ht="30" hidden="false" customHeight="true" outlineLevel="0" collapsed="false">
      <c r="A17" s="17" t="s">
        <v>1477</v>
      </c>
      <c r="B17" s="14" t="s">
        <v>1478</v>
      </c>
      <c r="C17" s="94" t="s">
        <v>1449</v>
      </c>
      <c r="D17" s="92" t="n">
        <v>0.5</v>
      </c>
      <c r="E17" s="25" t="n">
        <v>12</v>
      </c>
      <c r="F17" s="26" t="n">
        <v>6</v>
      </c>
      <c r="G17" s="19" t="s">
        <v>1479</v>
      </c>
    </row>
    <row r="18" customFormat="false" ht="30" hidden="false" customHeight="true" outlineLevel="0" collapsed="false">
      <c r="A18" s="54" t="s">
        <v>1480</v>
      </c>
      <c r="B18" s="55" t="s">
        <v>1481</v>
      </c>
      <c r="C18" s="95" t="s">
        <v>1482</v>
      </c>
      <c r="D18" s="96" t="n">
        <v>0.75</v>
      </c>
      <c r="E18" s="56" t="n">
        <v>180</v>
      </c>
      <c r="F18" s="57" t="n">
        <v>0</v>
      </c>
      <c r="G18" s="59" t="s">
        <v>1483</v>
      </c>
    </row>
    <row r="19" customFormat="false" ht="30" hidden="false" customHeight="true" outlineLevel="0" collapsed="false">
      <c r="A19" s="17" t="s">
        <v>1484</v>
      </c>
      <c r="B19" s="14" t="s">
        <v>1485</v>
      </c>
      <c r="C19" s="94" t="s">
        <v>1449</v>
      </c>
      <c r="D19" s="92" t="n">
        <v>0.15</v>
      </c>
      <c r="E19" s="25" t="n">
        <v>0</v>
      </c>
      <c r="F19" s="26" t="n">
        <v>0</v>
      </c>
      <c r="G19" s="19" t="s">
        <v>1486</v>
      </c>
    </row>
    <row r="20" customFormat="false" ht="15" hidden="false" customHeight="true" outlineLevel="0" collapsed="false">
      <c r="A20" s="31"/>
      <c r="B20" s="32" t="s">
        <v>1487</v>
      </c>
      <c r="C20" s="31"/>
      <c r="D20" s="31"/>
      <c r="E20" s="45"/>
      <c r="F20" s="33" t="n">
        <v>447</v>
      </c>
      <c r="G20" s="31"/>
    </row>
    <row r="21" customFormat="false" ht="15" hidden="false" customHeight="true" outlineLevel="0" collapsed="false"/>
    <row r="22" customFormat="false" ht="42" hidden="false" customHeight="true" outlineLevel="0" collapsed="false">
      <c r="B22" s="13" t="s">
        <v>568</v>
      </c>
      <c r="C22" s="19" t="s">
        <v>1488</v>
      </c>
      <c r="D22" s="19"/>
      <c r="E22" s="19"/>
      <c r="F22" s="19"/>
      <c r="G22" s="19"/>
    </row>
  </sheetData>
  <sheetProtection sheet="true"/>
  <mergeCells count="1">
    <mergeCell ref="C22:G22"/>
  </mergeCells>
  <dataValidations count="2">
    <dataValidation allowBlank="true" error="This must be a number of zero or more." errorStyle="stop" errorTitle="Not a number" operator="between" prompt="This must be a number of zero or more." promptTitle="Input cell" showDropDown="false" showErrorMessage="true" showInputMessage="false" sqref="E5:E19" type="decimal">
      <formula1>0</formula1>
      <formula2>1000000000</formula2>
    </dataValidation>
    <dataValidation allowBlank="true" error="A factor or probability must lie between 0 and 1." errorStyle="stop" errorTitle="Out of range" operator="between" prompt="A factor or probability must lie between 0 and 1." promptTitle="Input cell" showDropDown="false" showErrorMessage="true" showInputMessage="false" sqref="D5:D19"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6"/>
    <col collapsed="false" customWidth="true" hidden="false" outlineLevel="0" max="6" min="3" style="1" width="14"/>
    <col collapsed="false" customWidth="true" hidden="false" outlineLevel="0" max="7" min="7" style="1" width="56"/>
  </cols>
  <sheetData>
    <row r="1" customFormat="false" ht="17.25" hidden="false" customHeight="true" outlineLevel="0" collapsed="false">
      <c r="A1" s="2" t="s">
        <v>1489</v>
      </c>
    </row>
    <row r="2" customFormat="false" ht="15" hidden="false" customHeight="true" outlineLevel="0" collapsed="false">
      <c r="A2" s="3" t="s">
        <v>1490</v>
      </c>
    </row>
    <row r="4" customFormat="false" ht="30" hidden="false" customHeight="true" outlineLevel="0" collapsed="false">
      <c r="A4" s="16" t="s">
        <v>778</v>
      </c>
      <c r="B4" s="16" t="s">
        <v>779</v>
      </c>
      <c r="C4" s="16" t="s">
        <v>1491</v>
      </c>
      <c r="D4" s="16" t="s">
        <v>1492</v>
      </c>
      <c r="E4" s="16" t="s">
        <v>783</v>
      </c>
      <c r="F4" s="16" t="s">
        <v>1493</v>
      </c>
      <c r="G4" s="97"/>
    </row>
    <row r="5" customFormat="false" ht="25.5" hidden="false" customHeight="true" outlineLevel="0" collapsed="false">
      <c r="A5" s="68" t="n">
        <v>1</v>
      </c>
      <c r="B5" s="14" t="s">
        <v>1494</v>
      </c>
      <c r="C5" s="26" t="n">
        <v>2891</v>
      </c>
      <c r="D5" s="26" t="n">
        <v>4538</v>
      </c>
      <c r="E5" s="46" t="n">
        <v>1646</v>
      </c>
      <c r="F5" s="91" t="s">
        <v>1495</v>
      </c>
      <c r="G5" s="98"/>
    </row>
    <row r="6" customFormat="false" ht="25.5" hidden="false" customHeight="true" outlineLevel="0" collapsed="false">
      <c r="A6" s="68" t="n">
        <v>2</v>
      </c>
      <c r="B6" s="14" t="s">
        <v>1496</v>
      </c>
      <c r="C6" s="26" t="n">
        <v>3716</v>
      </c>
      <c r="D6" s="26" t="n">
        <v>4218</v>
      </c>
      <c r="E6" s="46" t="n">
        <v>503</v>
      </c>
      <c r="F6" s="91" t="s">
        <v>1497</v>
      </c>
      <c r="G6" s="98"/>
    </row>
    <row r="7" customFormat="false" ht="25.5" hidden="false" customHeight="true" outlineLevel="0" collapsed="false">
      <c r="A7" s="68" t="n">
        <v>3</v>
      </c>
      <c r="B7" s="14" t="s">
        <v>1498</v>
      </c>
      <c r="C7" s="26" t="n">
        <v>3499</v>
      </c>
      <c r="D7" s="26" t="n">
        <v>3821</v>
      </c>
      <c r="E7" s="46" t="n">
        <v>322</v>
      </c>
      <c r="F7" s="91" t="s">
        <v>1499</v>
      </c>
      <c r="G7" s="98"/>
    </row>
    <row r="8" customFormat="false" ht="25.5" hidden="false" customHeight="true" outlineLevel="0" collapsed="false">
      <c r="A8" s="68" t="n">
        <v>4</v>
      </c>
      <c r="B8" s="14" t="s">
        <v>1500</v>
      </c>
      <c r="C8" s="26" t="n">
        <v>3595</v>
      </c>
      <c r="D8" s="26" t="n">
        <v>3821</v>
      </c>
      <c r="E8" s="46" t="n">
        <v>226</v>
      </c>
      <c r="F8" s="91" t="s">
        <v>1501</v>
      </c>
      <c r="G8" s="98"/>
    </row>
    <row r="9" customFormat="false" ht="25.5" hidden="false" customHeight="true" outlineLevel="0" collapsed="false">
      <c r="A9" s="68" t="n">
        <v>5</v>
      </c>
      <c r="B9" s="14" t="s">
        <v>1502</v>
      </c>
      <c r="C9" s="26" t="n">
        <v>3652</v>
      </c>
      <c r="D9" s="26" t="n">
        <v>3811</v>
      </c>
      <c r="E9" s="46" t="n">
        <v>159</v>
      </c>
      <c r="F9" s="91" t="s">
        <v>1503</v>
      </c>
      <c r="G9" s="98"/>
    </row>
    <row r="10" customFormat="false" ht="25.5" hidden="false" customHeight="true" outlineLevel="0" collapsed="false">
      <c r="A10" s="68" t="n">
        <v>6</v>
      </c>
      <c r="B10" s="14" t="s">
        <v>1504</v>
      </c>
      <c r="C10" s="26" t="n">
        <v>3714</v>
      </c>
      <c r="D10" s="26" t="n">
        <v>3849</v>
      </c>
      <c r="E10" s="46" t="n">
        <v>135</v>
      </c>
      <c r="F10" s="91" t="s">
        <v>1505</v>
      </c>
      <c r="G10" s="98"/>
    </row>
    <row r="11" customFormat="false" ht="25.5" hidden="false" customHeight="true" outlineLevel="0" collapsed="false">
      <c r="A11" s="68" t="n">
        <v>7</v>
      </c>
      <c r="B11" s="14" t="s">
        <v>1506</v>
      </c>
      <c r="C11" s="26" t="n">
        <v>3644</v>
      </c>
      <c r="D11" s="26" t="n">
        <v>3741</v>
      </c>
      <c r="E11" s="46" t="n">
        <v>97</v>
      </c>
      <c r="F11" s="91" t="s">
        <v>1507</v>
      </c>
      <c r="G11" s="98"/>
    </row>
    <row r="12" customFormat="false" ht="25.5" hidden="false" customHeight="true" outlineLevel="0" collapsed="false">
      <c r="A12" s="68" t="n">
        <v>8</v>
      </c>
      <c r="B12" s="14" t="s">
        <v>1508</v>
      </c>
      <c r="C12" s="26" t="n">
        <v>3661</v>
      </c>
      <c r="D12" s="26" t="n">
        <v>3740</v>
      </c>
      <c r="E12" s="46" t="n">
        <v>79</v>
      </c>
      <c r="F12" s="91" t="s">
        <v>1509</v>
      </c>
      <c r="G12" s="98"/>
    </row>
    <row r="13" customFormat="false" ht="25.5" hidden="false" customHeight="true" outlineLevel="0" collapsed="false">
      <c r="A13" s="68" t="n">
        <v>9</v>
      </c>
      <c r="B13" s="14" t="s">
        <v>1510</v>
      </c>
      <c r="C13" s="26" t="n">
        <v>3692</v>
      </c>
      <c r="D13" s="26" t="n">
        <v>3736</v>
      </c>
      <c r="E13" s="46" t="n">
        <v>44</v>
      </c>
      <c r="F13" s="91" t="s">
        <v>1511</v>
      </c>
      <c r="G13" s="98"/>
    </row>
    <row r="14" customFormat="false" ht="25.5" hidden="false" customHeight="true" outlineLevel="0" collapsed="false">
      <c r="A14" s="68" t="n">
        <v>10</v>
      </c>
      <c r="B14" s="14" t="s">
        <v>1512</v>
      </c>
      <c r="C14" s="26" t="n">
        <v>3701</v>
      </c>
      <c r="D14" s="26" t="n">
        <v>3733</v>
      </c>
      <c r="E14" s="46" t="n">
        <v>32</v>
      </c>
      <c r="F14" s="91" t="s">
        <v>1513</v>
      </c>
      <c r="G14" s="98"/>
    </row>
    <row r="15" customFormat="false" ht="15" hidden="false" customHeight="true" outlineLevel="0" collapsed="false">
      <c r="B15" s="4"/>
      <c r="E15" s="99"/>
      <c r="G15" s="98"/>
    </row>
  </sheetData>
  <sheetProtection sheet="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2"/>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58"/>
  </cols>
  <sheetData>
    <row r="1" customFormat="false" ht="17.25" hidden="false" customHeight="true" outlineLevel="0" collapsed="false">
      <c r="A1" s="2" t="s">
        <v>1514</v>
      </c>
    </row>
    <row r="2" customFormat="false" ht="15" hidden="false" customHeight="true" outlineLevel="0" collapsed="false">
      <c r="A2" s="3" t="s">
        <v>1515</v>
      </c>
    </row>
    <row r="4" customFormat="false" ht="30" hidden="false" customHeight="true" outlineLevel="0" collapsed="false">
      <c r="A4" s="16" t="s">
        <v>95</v>
      </c>
      <c r="B4" s="16" t="s">
        <v>1516</v>
      </c>
      <c r="C4" s="16" t="s">
        <v>1517</v>
      </c>
      <c r="D4" s="16" t="s">
        <v>1518</v>
      </c>
      <c r="E4" s="16" t="s">
        <v>1519</v>
      </c>
      <c r="F4" s="16" t="s">
        <v>568</v>
      </c>
    </row>
    <row r="5" customFormat="false" ht="15" hidden="false" customHeight="true" outlineLevel="0" collapsed="false">
      <c r="A5" s="17" t="s">
        <v>1160</v>
      </c>
      <c r="B5" s="17" t="s">
        <v>1520</v>
      </c>
      <c r="C5" s="92" t="n">
        <v>0.03</v>
      </c>
      <c r="D5" s="25" t="n">
        <v>32000</v>
      </c>
      <c r="E5" s="26" t="n">
        <f aca="false">C5*D5</f>
        <v>960</v>
      </c>
      <c r="F5" s="19"/>
    </row>
    <row r="6" customFormat="false" ht="15" hidden="false" customHeight="true" outlineLevel="0" collapsed="false">
      <c r="A6" s="17" t="s">
        <v>1163</v>
      </c>
      <c r="B6" s="17" t="s">
        <v>1521</v>
      </c>
      <c r="C6" s="92" t="n">
        <v>0.05</v>
      </c>
      <c r="D6" s="25" t="n">
        <v>26000</v>
      </c>
      <c r="E6" s="26" t="n">
        <f aca="false">C6*D6</f>
        <v>1300</v>
      </c>
      <c r="F6" s="19"/>
    </row>
    <row r="7" customFormat="false" ht="15" hidden="false" customHeight="true" outlineLevel="0" collapsed="false">
      <c r="A7" s="17" t="s">
        <v>1164</v>
      </c>
      <c r="B7" s="17" t="s">
        <v>1522</v>
      </c>
      <c r="C7" s="92" t="n">
        <v>0.08</v>
      </c>
      <c r="D7" s="25" t="n">
        <v>20000</v>
      </c>
      <c r="E7" s="26" t="n">
        <f aca="false">C7*D7</f>
        <v>1600</v>
      </c>
      <c r="F7" s="19" t="s">
        <v>1523</v>
      </c>
    </row>
    <row r="8" customFormat="false" ht="15" hidden="false" customHeight="true" outlineLevel="0" collapsed="false">
      <c r="A8" s="17" t="s">
        <v>1166</v>
      </c>
      <c r="B8" s="17" t="s">
        <v>1524</v>
      </c>
      <c r="C8" s="92" t="n">
        <v>0.07</v>
      </c>
      <c r="D8" s="25" t="n">
        <v>14000</v>
      </c>
      <c r="E8" s="26" t="n">
        <f aca="false">C8*D8</f>
        <v>980</v>
      </c>
      <c r="F8" s="19" t="s">
        <v>1525</v>
      </c>
    </row>
    <row r="9" customFormat="false" ht="15" hidden="false" customHeight="true" outlineLevel="0" collapsed="false">
      <c r="A9" s="17" t="s">
        <v>1169</v>
      </c>
      <c r="B9" s="17" t="s">
        <v>1526</v>
      </c>
      <c r="C9" s="92" t="n">
        <v>0.07</v>
      </c>
      <c r="D9" s="25" t="n">
        <v>15000</v>
      </c>
      <c r="E9" s="26" t="n">
        <f aca="false">C9*D9</f>
        <v>1050</v>
      </c>
      <c r="F9" s="19" t="s">
        <v>1527</v>
      </c>
    </row>
    <row r="10" customFormat="false" ht="15" hidden="false" customHeight="true" outlineLevel="0" collapsed="false">
      <c r="A10" s="17" t="s">
        <v>1170</v>
      </c>
      <c r="B10" s="17" t="s">
        <v>1528</v>
      </c>
      <c r="C10" s="92" t="n">
        <v>0.22</v>
      </c>
      <c r="D10" s="25" t="n">
        <v>16000</v>
      </c>
      <c r="E10" s="26" t="n">
        <f aca="false">C10*D10</f>
        <v>3520</v>
      </c>
      <c r="F10" s="19"/>
    </row>
    <row r="11" customFormat="false" ht="15" hidden="false" customHeight="true" outlineLevel="0" collapsed="false">
      <c r="A11" s="17" t="s">
        <v>1172</v>
      </c>
      <c r="B11" s="17" t="s">
        <v>1529</v>
      </c>
      <c r="C11" s="92" t="n">
        <v>0.26</v>
      </c>
      <c r="D11" s="25" t="n">
        <v>11000</v>
      </c>
      <c r="E11" s="26" t="n">
        <f aca="false">C11*D11</f>
        <v>2860</v>
      </c>
      <c r="F11" s="19"/>
    </row>
    <row r="12" customFormat="false" ht="15" hidden="false" customHeight="true" outlineLevel="0" collapsed="false">
      <c r="A12" s="17" t="s">
        <v>1530</v>
      </c>
      <c r="B12" s="17" t="s">
        <v>1531</v>
      </c>
      <c r="C12" s="92" t="n">
        <v>0.04</v>
      </c>
      <c r="D12" s="25" t="n">
        <v>15000</v>
      </c>
      <c r="E12" s="26" t="n">
        <f aca="false">C12*D12</f>
        <v>600</v>
      </c>
      <c r="F12" s="19"/>
    </row>
    <row r="13" customFormat="false" ht="15" hidden="false" customHeight="true" outlineLevel="0" collapsed="false">
      <c r="A13" s="17" t="s">
        <v>1532</v>
      </c>
      <c r="B13" s="17" t="s">
        <v>1533</v>
      </c>
      <c r="C13" s="92" t="n">
        <v>0.12</v>
      </c>
      <c r="D13" s="25" t="n">
        <v>9500</v>
      </c>
      <c r="E13" s="26" t="n">
        <f aca="false">C13*D13</f>
        <v>1140</v>
      </c>
      <c r="F13" s="19"/>
    </row>
    <row r="14" customFormat="false" ht="15" hidden="false" customHeight="true" outlineLevel="0" collapsed="false">
      <c r="A14" s="17" t="s">
        <v>1534</v>
      </c>
      <c r="B14" s="17" t="s">
        <v>1535</v>
      </c>
      <c r="C14" s="92" t="n">
        <v>0.04</v>
      </c>
      <c r="D14" s="25" t="n">
        <v>17000</v>
      </c>
      <c r="E14" s="26" t="n">
        <f aca="false">C14*D14</f>
        <v>680</v>
      </c>
      <c r="F14" s="19" t="s">
        <v>1536</v>
      </c>
    </row>
    <row r="15" customFormat="false" ht="15" hidden="false" customHeight="true" outlineLevel="0" collapsed="false">
      <c r="A15" s="17" t="s">
        <v>1537</v>
      </c>
      <c r="B15" s="17" t="s">
        <v>1538</v>
      </c>
      <c r="C15" s="92" t="n">
        <v>0.02</v>
      </c>
      <c r="D15" s="25" t="n">
        <v>22000</v>
      </c>
      <c r="E15" s="26" t="n">
        <f aca="false">C15*D15</f>
        <v>440</v>
      </c>
      <c r="F15" s="19" t="s">
        <v>1539</v>
      </c>
    </row>
    <row r="16" customFormat="false" ht="15" hidden="false" customHeight="true" outlineLevel="0" collapsed="false">
      <c r="A16" s="31"/>
      <c r="B16" s="32" t="s">
        <v>1540</v>
      </c>
      <c r="C16" s="51" t="n">
        <f aca="false">SUM(C5:C15)</f>
        <v>1</v>
      </c>
      <c r="D16" s="31"/>
      <c r="E16" s="100" t="n">
        <f aca="false">ROUND(SUM(E5:E15),0)</f>
        <v>15130</v>
      </c>
      <c r="F16" s="31"/>
    </row>
    <row r="19" customFormat="false" ht="15" hidden="false" customHeight="true" outlineLevel="0" collapsed="false">
      <c r="B19" s="11" t="s">
        <v>1541</v>
      </c>
      <c r="C19" s="15"/>
      <c r="D19" s="15"/>
      <c r="E19" s="15"/>
      <c r="F19" s="15"/>
    </row>
    <row r="20" customFormat="false" ht="30" hidden="false" customHeight="true" outlineLevel="0" collapsed="false">
      <c r="A20" s="16" t="s">
        <v>95</v>
      </c>
      <c r="B20" s="16" t="s">
        <v>1542</v>
      </c>
      <c r="C20" s="16" t="s">
        <v>1543</v>
      </c>
      <c r="D20" s="16" t="s">
        <v>1544</v>
      </c>
      <c r="E20" s="16"/>
      <c r="F20" s="16" t="s">
        <v>568</v>
      </c>
    </row>
    <row r="21" customFormat="false" ht="15" hidden="false" customHeight="true" outlineLevel="0" collapsed="false">
      <c r="A21" s="17" t="s">
        <v>1545</v>
      </c>
      <c r="B21" s="17" t="s">
        <v>1546</v>
      </c>
      <c r="C21" s="101" t="n">
        <v>0.72</v>
      </c>
      <c r="D21" s="26" t="n">
        <f aca="false">ROUND($E$16*C21,0)</f>
        <v>10894</v>
      </c>
      <c r="F21" s="19" t="s">
        <v>1547</v>
      </c>
    </row>
    <row r="22" customFormat="false" ht="15" hidden="false" customHeight="true" outlineLevel="0" collapsed="false">
      <c r="A22" s="17" t="s">
        <v>1548</v>
      </c>
      <c r="B22" s="17" t="s">
        <v>1549</v>
      </c>
      <c r="C22" s="101" t="n">
        <v>1</v>
      </c>
      <c r="D22" s="26" t="n">
        <f aca="false">ROUND($E$16*C22,0)</f>
        <v>15130</v>
      </c>
      <c r="F22" s="19" t="s">
        <v>1550</v>
      </c>
    </row>
    <row r="23" customFormat="false" ht="15" hidden="false" customHeight="true" outlineLevel="0" collapsed="false">
      <c r="A23" s="17" t="s">
        <v>1551</v>
      </c>
      <c r="B23" s="17" t="s">
        <v>1552</v>
      </c>
      <c r="C23" s="101" t="n">
        <v>1.4</v>
      </c>
      <c r="D23" s="26" t="n">
        <f aca="false">ROUND($E$16*C23,0)</f>
        <v>21182</v>
      </c>
      <c r="F23" s="19" t="s">
        <v>1553</v>
      </c>
    </row>
  </sheetData>
  <sheetProtection sheet="true"/>
  <dataValidations count="2">
    <dataValidation allowBlank="true" error="This must be a number of zero or more." errorStyle="stop" errorTitle="Not a number" operator="between" prompt="This must be a number of zero or more." promptTitle="Input cell" showDropDown="false" showErrorMessage="true" showInputMessage="false" sqref="D5:D15 C21:C23" type="decimal">
      <formula1>0</formula1>
      <formula2>1000000000</formula2>
    </dataValidation>
    <dataValidation allowBlank="true" error="A percentage must lie between 0 and 1 (0.28 means 28%)." errorStyle="stop" errorTitle="Out of range" operator="between" prompt="A percentage must lie between 0 and 1 (0.28 means 28%)." promptTitle="Input cell" showDropDown="false" showErrorMessage="true" showInputMessage="false" sqref="C5:C15"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4"/>
    <col collapsed="false" customWidth="true" hidden="false" outlineLevel="0" max="6" min="3" style="1" width="13"/>
    <col collapsed="false" customWidth="true" hidden="false" outlineLevel="0" max="7" min="7" style="1" width="54"/>
  </cols>
  <sheetData>
    <row r="1" customFormat="false" ht="17.25" hidden="false" customHeight="true" outlineLevel="0" collapsed="false">
      <c r="A1" s="2" t="s">
        <v>1554</v>
      </c>
    </row>
    <row r="2" customFormat="false" ht="15" hidden="false" customHeight="true" outlineLevel="0" collapsed="false">
      <c r="A2" s="3" t="s">
        <v>1555</v>
      </c>
    </row>
    <row r="4" customFormat="false" ht="30" hidden="false" customHeight="true" outlineLevel="0" collapsed="false">
      <c r="A4" s="16" t="s">
        <v>95</v>
      </c>
      <c r="B4" s="16" t="s">
        <v>1556</v>
      </c>
      <c r="C4" s="16" t="s">
        <v>1557</v>
      </c>
      <c r="D4" s="16" t="s">
        <v>1558</v>
      </c>
      <c r="E4" s="16" t="s">
        <v>1559</v>
      </c>
      <c r="F4" s="16" t="s">
        <v>1560</v>
      </c>
      <c r="G4" s="16" t="s">
        <v>98</v>
      </c>
    </row>
    <row r="5" customFormat="false" ht="31.5" hidden="false" customHeight="true" outlineLevel="0" collapsed="false">
      <c r="A5" s="17" t="s">
        <v>1561</v>
      </c>
      <c r="B5" s="14" t="s">
        <v>1562</v>
      </c>
      <c r="C5" s="102" t="n">
        <v>4220</v>
      </c>
      <c r="D5" s="38" t="n">
        <f aca="false">$C5*'Team &amp; Rate Card'!$D$21/10000000</f>
        <v>4.597268</v>
      </c>
      <c r="E5" s="38" t="n">
        <f aca="false">$C5*'Team &amp; Rate Card'!$D$22/10000000</f>
        <v>6.38486</v>
      </c>
      <c r="F5" s="38" t="n">
        <f aca="false">$C5*'Team &amp; Rate Card'!$D$23/10000000</f>
        <v>8.938804</v>
      </c>
      <c r="G5" s="19" t="s">
        <v>1563</v>
      </c>
    </row>
    <row r="6" customFormat="false" ht="31.5" hidden="false" customHeight="true" outlineLevel="0" collapsed="false">
      <c r="A6" s="17" t="s">
        <v>1564</v>
      </c>
      <c r="B6" s="103" t="s">
        <v>1565</v>
      </c>
      <c r="C6" s="104" t="n">
        <f aca="false">'Monte Carlo'!C31</f>
        <v>3714</v>
      </c>
      <c r="D6" s="105" t="n">
        <f aca="false">$C6*'Team &amp; Rate Card'!$D$21/10000000</f>
        <v>4.0460316</v>
      </c>
      <c r="E6" s="105" t="n">
        <f aca="false">$C6*'Team &amp; Rate Card'!$D$22/10000000</f>
        <v>5.619282</v>
      </c>
      <c r="F6" s="105" t="n">
        <f aca="false">$C6*'Team &amp; Rate Card'!$D$23/10000000</f>
        <v>7.8669948</v>
      </c>
      <c r="G6" s="22" t="s">
        <v>1566</v>
      </c>
    </row>
    <row r="7" customFormat="false" ht="31.5" hidden="false" customHeight="true" outlineLevel="0" collapsed="false">
      <c r="A7" s="61" t="s">
        <v>1567</v>
      </c>
      <c r="B7" s="62" t="s">
        <v>1568</v>
      </c>
      <c r="C7" s="106" t="n">
        <f aca="false">ROUND('Scenario C Model'!C109*('Monte Carlo'!$C$31/'Monte Carlo'!$C$30),0)</f>
        <v>2865</v>
      </c>
      <c r="D7" s="107" t="n">
        <f aca="false">$C7*'Team &amp; Rate Card'!$D$21/10000000</f>
        <v>3.121131</v>
      </c>
      <c r="E7" s="107" t="n">
        <f aca="false">$C7*'Team &amp; Rate Card'!$D$22/10000000</f>
        <v>4.334745</v>
      </c>
      <c r="F7" s="107" t="n">
        <f aca="false">$C7*'Team &amp; Rate Card'!$D$23/10000000</f>
        <v>6.068643</v>
      </c>
      <c r="G7" s="66" t="s">
        <v>1569</v>
      </c>
    </row>
    <row r="8" customFormat="false" ht="31.5" hidden="false" customHeight="true" outlineLevel="0" collapsed="false">
      <c r="A8" s="61" t="s">
        <v>1570</v>
      </c>
      <c r="B8" s="62" t="s">
        <v>1571</v>
      </c>
      <c r="C8" s="106" t="n">
        <f aca="false">ROUND('Scenario D Model'!C107*('Monte Carlo'!$C$31/'Monte Carlo'!$C$30),0)</f>
        <v>3343</v>
      </c>
      <c r="D8" s="107" t="n">
        <f aca="false">$C8*'Team &amp; Rate Card'!$D$21/10000000</f>
        <v>3.6418642</v>
      </c>
      <c r="E8" s="107" t="n">
        <f aca="false">$C8*'Team &amp; Rate Card'!$D$22/10000000</f>
        <v>5.057959</v>
      </c>
      <c r="F8" s="107" t="n">
        <f aca="false">$C8*'Team &amp; Rate Card'!$D$23/10000000</f>
        <v>7.0811426</v>
      </c>
      <c r="G8" s="66" t="s">
        <v>1572</v>
      </c>
    </row>
    <row r="9" customFormat="false" ht="33.75" hidden="false" customHeight="true" outlineLevel="0" collapsed="false">
      <c r="A9" s="17" t="s">
        <v>1573</v>
      </c>
      <c r="B9" s="108" t="s">
        <v>1574</v>
      </c>
      <c r="C9" s="109" t="n">
        <f aca="false">ROUND('Scenario E Model'!C107*('Monte Carlo'!$C$31/'Monte Carlo'!$C$30),0)</f>
        <v>2787</v>
      </c>
      <c r="D9" s="107" t="n">
        <f aca="false">$C9*'Team &amp; Rate Card'!$D$21/10000000</f>
        <v>3.0361578</v>
      </c>
      <c r="E9" s="107" t="n">
        <f aca="false">$C9*'Team &amp; Rate Card'!$D$22/10000000</f>
        <v>4.216731</v>
      </c>
      <c r="F9" s="107" t="n">
        <f aca="false">$C9*'Team &amp; Rate Card'!$D$23/10000000</f>
        <v>5.9034234</v>
      </c>
      <c r="G9" s="66" t="s">
        <v>1575</v>
      </c>
    </row>
    <row r="11" customFormat="false" ht="15" hidden="false" customHeight="true" outlineLevel="0" collapsed="false">
      <c r="B11" s="11" t="s">
        <v>1576</v>
      </c>
      <c r="C11" s="15"/>
      <c r="D11" s="15"/>
      <c r="E11" s="15"/>
      <c r="F11" s="15"/>
      <c r="G11" s="15"/>
    </row>
    <row r="12" customFormat="false" ht="30" hidden="false" customHeight="true" outlineLevel="0" collapsed="false">
      <c r="A12" s="16" t="s">
        <v>95</v>
      </c>
      <c r="B12" s="16" t="s">
        <v>1577</v>
      </c>
      <c r="C12" s="16" t="s">
        <v>1578</v>
      </c>
      <c r="D12" s="16" t="s">
        <v>1579</v>
      </c>
      <c r="E12" s="16" t="s">
        <v>1580</v>
      </c>
      <c r="F12" s="16" t="s">
        <v>1581</v>
      </c>
      <c r="G12" s="16" t="s">
        <v>568</v>
      </c>
    </row>
    <row r="13" customFormat="false" ht="15" hidden="false" customHeight="true" outlineLevel="0" collapsed="false">
      <c r="A13" s="17" t="s">
        <v>577</v>
      </c>
      <c r="B13" s="14" t="s">
        <v>1582</v>
      </c>
      <c r="C13" s="110" t="n">
        <v>8</v>
      </c>
      <c r="D13" s="110" t="n">
        <v>12</v>
      </c>
      <c r="E13" s="110" t="n">
        <v>18</v>
      </c>
      <c r="F13" s="68" t="s">
        <v>1583</v>
      </c>
      <c r="G13" s="19" t="s">
        <v>1584</v>
      </c>
    </row>
    <row r="14" customFormat="false" ht="23.25" hidden="false" customHeight="true" outlineLevel="0" collapsed="false">
      <c r="A14" s="17" t="s">
        <v>580</v>
      </c>
      <c r="B14" s="14" t="s">
        <v>1585</v>
      </c>
      <c r="C14" s="110" t="n">
        <v>12</v>
      </c>
      <c r="D14" s="110" t="n">
        <v>18</v>
      </c>
      <c r="E14" s="110" t="n">
        <v>28</v>
      </c>
      <c r="F14" s="68" t="s">
        <v>1583</v>
      </c>
      <c r="G14" s="19"/>
    </row>
    <row r="15" customFormat="false" ht="15" hidden="false" customHeight="true" outlineLevel="0" collapsed="false">
      <c r="A15" s="17" t="s">
        <v>583</v>
      </c>
      <c r="B15" s="14" t="s">
        <v>1586</v>
      </c>
      <c r="C15" s="110" t="n">
        <v>45</v>
      </c>
      <c r="D15" s="110" t="n">
        <v>72</v>
      </c>
      <c r="E15" s="110" t="n">
        <v>110</v>
      </c>
      <c r="F15" s="68" t="s">
        <v>1587</v>
      </c>
      <c r="G15" s="19" t="s">
        <v>1588</v>
      </c>
    </row>
    <row r="16" customFormat="false" ht="15" hidden="false" customHeight="true" outlineLevel="0" collapsed="false">
      <c r="A16" s="17" t="s">
        <v>586</v>
      </c>
      <c r="B16" s="14" t="s">
        <v>1589</v>
      </c>
      <c r="C16" s="110" t="n">
        <v>15</v>
      </c>
      <c r="D16" s="110" t="n">
        <v>24</v>
      </c>
      <c r="E16" s="110" t="n">
        <v>40</v>
      </c>
      <c r="F16" s="68" t="s">
        <v>1587</v>
      </c>
      <c r="G16" s="19" t="s">
        <v>1590</v>
      </c>
    </row>
    <row r="17" customFormat="false" ht="15" hidden="false" customHeight="true" outlineLevel="0" collapsed="false">
      <c r="A17" s="17" t="s">
        <v>589</v>
      </c>
      <c r="B17" s="14" t="s">
        <v>1591</v>
      </c>
      <c r="C17" s="110" t="n">
        <v>3</v>
      </c>
      <c r="D17" s="110" t="n">
        <v>6</v>
      </c>
      <c r="E17" s="110" t="n">
        <v>10</v>
      </c>
      <c r="F17" s="68" t="s">
        <v>1587</v>
      </c>
      <c r="G17" s="19" t="s">
        <v>1592</v>
      </c>
    </row>
    <row r="18" customFormat="false" ht="15" hidden="false" customHeight="true" outlineLevel="0" collapsed="false">
      <c r="A18" s="17" t="s">
        <v>592</v>
      </c>
      <c r="B18" s="14" t="s">
        <v>1593</v>
      </c>
      <c r="C18" s="110" t="n">
        <v>8</v>
      </c>
      <c r="D18" s="110" t="n">
        <v>14</v>
      </c>
      <c r="E18" s="110" t="n">
        <v>24</v>
      </c>
      <c r="F18" s="68" t="s">
        <v>1587</v>
      </c>
      <c r="G18" s="19"/>
    </row>
    <row r="19" customFormat="false" ht="15" hidden="false" customHeight="true" outlineLevel="0" collapsed="false">
      <c r="A19" s="17" t="s">
        <v>595</v>
      </c>
      <c r="B19" s="14" t="s">
        <v>1594</v>
      </c>
      <c r="C19" s="110" t="n">
        <v>20</v>
      </c>
      <c r="D19" s="110" t="n">
        <v>38</v>
      </c>
      <c r="E19" s="110" t="n">
        <v>70</v>
      </c>
      <c r="F19" s="68" t="s">
        <v>1587</v>
      </c>
      <c r="G19" s="19" t="s">
        <v>1595</v>
      </c>
    </row>
    <row r="20" customFormat="false" ht="15" hidden="false" customHeight="true" outlineLevel="0" collapsed="false">
      <c r="A20" s="17" t="s">
        <v>598</v>
      </c>
      <c r="B20" s="14" t="s">
        <v>1596</v>
      </c>
      <c r="C20" s="110" t="n">
        <v>12</v>
      </c>
      <c r="D20" s="110" t="n">
        <v>20</v>
      </c>
      <c r="E20" s="110" t="n">
        <v>34</v>
      </c>
      <c r="F20" s="68" t="s">
        <v>1587</v>
      </c>
      <c r="G20" s="19" t="s">
        <v>1597</v>
      </c>
    </row>
    <row r="21" customFormat="false" ht="15" hidden="false" customHeight="true" outlineLevel="0" collapsed="false">
      <c r="A21" s="17" t="s">
        <v>1598</v>
      </c>
      <c r="B21" s="14" t="s">
        <v>1599</v>
      </c>
      <c r="C21" s="110" t="n">
        <v>1</v>
      </c>
      <c r="D21" s="110" t="n">
        <v>2</v>
      </c>
      <c r="E21" s="110" t="n">
        <v>4</v>
      </c>
      <c r="F21" s="68" t="s">
        <v>1583</v>
      </c>
      <c r="G21" s="19" t="s">
        <v>1600</v>
      </c>
    </row>
    <row r="22" customFormat="false" ht="15" hidden="false" customHeight="true" outlineLevel="0" collapsed="false">
      <c r="A22" s="17" t="s">
        <v>1601</v>
      </c>
      <c r="B22" s="14" t="s">
        <v>1602</v>
      </c>
      <c r="C22" s="110" t="n">
        <v>8</v>
      </c>
      <c r="D22" s="110" t="n">
        <v>14</v>
      </c>
      <c r="E22" s="110" t="n">
        <v>26</v>
      </c>
      <c r="F22" s="68" t="s">
        <v>1583</v>
      </c>
      <c r="G22" s="19" t="s">
        <v>1603</v>
      </c>
    </row>
    <row r="23" customFormat="false" ht="15" hidden="false" customHeight="true" outlineLevel="0" collapsed="false">
      <c r="A23" s="17" t="s">
        <v>1604</v>
      </c>
      <c r="B23" s="14" t="s">
        <v>1605</v>
      </c>
      <c r="C23" s="110" t="n">
        <v>5</v>
      </c>
      <c r="D23" s="110" t="n">
        <v>8</v>
      </c>
      <c r="E23" s="110" t="n">
        <v>14</v>
      </c>
      <c r="F23" s="68" t="s">
        <v>1583</v>
      </c>
      <c r="G23" s="19"/>
    </row>
    <row r="24" customFormat="false" ht="15" hidden="false" customHeight="true" outlineLevel="0" collapsed="false">
      <c r="A24" s="17" t="s">
        <v>1606</v>
      </c>
      <c r="B24" s="14" t="s">
        <v>1607</v>
      </c>
      <c r="C24" s="110" t="n">
        <v>4</v>
      </c>
      <c r="D24" s="110" t="n">
        <v>7</v>
      </c>
      <c r="E24" s="110" t="n">
        <v>12</v>
      </c>
      <c r="F24" s="68" t="s">
        <v>1583</v>
      </c>
      <c r="G24" s="19"/>
    </row>
    <row r="25" customFormat="false" ht="15" hidden="false" customHeight="true" outlineLevel="0" collapsed="false">
      <c r="A25" s="17" t="s">
        <v>1608</v>
      </c>
      <c r="B25" s="14" t="s">
        <v>1609</v>
      </c>
      <c r="C25" s="110" t="n">
        <v>4</v>
      </c>
      <c r="D25" s="110" t="n">
        <v>8</v>
      </c>
      <c r="E25" s="110" t="n">
        <v>15</v>
      </c>
      <c r="F25" s="68" t="s">
        <v>1587</v>
      </c>
      <c r="G25" s="19" t="s">
        <v>1610</v>
      </c>
    </row>
    <row r="26" customFormat="false" ht="15" hidden="false" customHeight="true" outlineLevel="0" collapsed="false">
      <c r="A26" s="28"/>
      <c r="B26" s="29" t="s">
        <v>1611</v>
      </c>
      <c r="C26" s="111" t="n">
        <f aca="false">SUM(C13:C25)</f>
        <v>145</v>
      </c>
      <c r="D26" s="111" t="n">
        <f aca="false">SUM(D13:D25)</f>
        <v>243</v>
      </c>
      <c r="E26" s="111" t="n">
        <f aca="false">SUM(E13:E25)</f>
        <v>405</v>
      </c>
      <c r="F26" s="28"/>
      <c r="G26" s="28"/>
    </row>
    <row r="27" customFormat="false" ht="15" hidden="false" customHeight="true" outlineLevel="0" collapsed="false">
      <c r="B27" s="17" t="s">
        <v>1612</v>
      </c>
      <c r="D27" s="44" t="n">
        <f aca="false">SUMIFS(D13:D25,$F$13:$F$25,"One-time")</f>
        <v>61</v>
      </c>
    </row>
    <row r="28" customFormat="false" ht="15" hidden="false" customHeight="true" outlineLevel="0" collapsed="false">
      <c r="B28" s="17" t="s">
        <v>1613</v>
      </c>
      <c r="D28" s="44" t="n">
        <f aca="false">SUMIFS(D13:D25,$F$13:$F$25,"Recurring")</f>
        <v>182</v>
      </c>
    </row>
    <row r="29" customFormat="false" ht="15" hidden="false" customHeight="true" outlineLevel="0" collapsed="false">
      <c r="B29" s="17" t="s">
        <v>1614</v>
      </c>
      <c r="D29" s="44" t="n">
        <f aca="false">D28/3</f>
        <v>60.6666666666667</v>
      </c>
    </row>
    <row r="31" customFormat="false" ht="15" hidden="false" customHeight="true" outlineLevel="0" collapsed="false">
      <c r="B31" s="11" t="s">
        <v>1615</v>
      </c>
      <c r="C31" s="112"/>
      <c r="D31" s="15"/>
      <c r="E31" s="15"/>
      <c r="F31" s="15"/>
      <c r="G31" s="15"/>
    </row>
    <row r="32" customFormat="false" ht="45.75" hidden="false" customHeight="true" outlineLevel="0" collapsed="false">
      <c r="B32" s="13" t="s">
        <v>1616</v>
      </c>
      <c r="C32" s="92" t="n">
        <v>0.16</v>
      </c>
      <c r="D32" s="19" t="s">
        <v>1617</v>
      </c>
    </row>
    <row r="34" customFormat="false" ht="30" hidden="false" customHeight="true" outlineLevel="0" collapsed="false">
      <c r="A34" s="16" t="s">
        <v>95</v>
      </c>
      <c r="B34" s="16" t="s">
        <v>1618</v>
      </c>
      <c r="C34" s="16" t="s">
        <v>1619</v>
      </c>
      <c r="D34" s="16" t="s">
        <v>1620</v>
      </c>
      <c r="E34" s="16" t="s">
        <v>1621</v>
      </c>
      <c r="F34" s="16" t="s">
        <v>1622</v>
      </c>
      <c r="G34" s="16" t="s">
        <v>1623</v>
      </c>
    </row>
    <row r="35" customFormat="false" ht="15" hidden="false" customHeight="true" outlineLevel="0" collapsed="false">
      <c r="A35" s="17" t="s">
        <v>1545</v>
      </c>
      <c r="B35" s="17" t="s">
        <v>1624</v>
      </c>
      <c r="C35" s="41" t="n">
        <f aca="false">E6</f>
        <v>5.619282</v>
      </c>
    </row>
    <row r="36" customFormat="false" ht="15" hidden="false" customHeight="true" outlineLevel="0" collapsed="false">
      <c r="A36" s="17" t="s">
        <v>1548</v>
      </c>
      <c r="B36" s="17" t="s">
        <v>1625</v>
      </c>
      <c r="C36" s="41" t="n">
        <f aca="false">D27/100</f>
        <v>0.61</v>
      </c>
    </row>
    <row r="37" customFormat="false" ht="15" hidden="false" customHeight="true" outlineLevel="0" collapsed="false">
      <c r="A37" s="17" t="s">
        <v>1551</v>
      </c>
      <c r="B37" s="17" t="s">
        <v>1626</v>
      </c>
      <c r="D37" s="41" t="n">
        <f aca="false">$D$29/100</f>
        <v>0.606666666666667</v>
      </c>
      <c r="E37" s="41" t="n">
        <f aca="false">$D$29/100</f>
        <v>0.606666666666667</v>
      </c>
      <c r="F37" s="41" t="n">
        <f aca="false">$D$29/100</f>
        <v>0.606666666666667</v>
      </c>
      <c r="G37" s="41" t="n">
        <f aca="false">2*$D$29/100</f>
        <v>1.21333333333333</v>
      </c>
    </row>
    <row r="38" customFormat="false" ht="15" hidden="false" customHeight="true" outlineLevel="0" collapsed="false">
      <c r="A38" s="17" t="s">
        <v>1627</v>
      </c>
      <c r="B38" s="17" t="s">
        <v>1628</v>
      </c>
      <c r="D38" s="41" t="n">
        <f aca="false">$E$6*$C$32</f>
        <v>0.89908512</v>
      </c>
      <c r="E38" s="41" t="n">
        <f aca="false">$E$6*$C$32</f>
        <v>0.89908512</v>
      </c>
      <c r="F38" s="41" t="n">
        <f aca="false">$E$6*$C$32</f>
        <v>0.89908512</v>
      </c>
      <c r="G38" s="41" t="n">
        <f aca="false">2*$E$6*$C$32</f>
        <v>1.79817024</v>
      </c>
    </row>
    <row r="39" customFormat="false" ht="15" hidden="false" customHeight="true" outlineLevel="0" collapsed="false">
      <c r="A39" s="28"/>
      <c r="B39" s="29" t="s">
        <v>1629</v>
      </c>
      <c r="C39" s="113" t="n">
        <f aca="false">SUM(C35:C38)</f>
        <v>6.229282</v>
      </c>
      <c r="D39" s="113" t="n">
        <f aca="false">SUM(D35:D38)</f>
        <v>1.50575178666667</v>
      </c>
      <c r="E39" s="113" t="n">
        <f aca="false">SUM(E35:E38)</f>
        <v>1.50575178666667</v>
      </c>
      <c r="F39" s="113" t="n">
        <f aca="false">SUM(F35:F38)</f>
        <v>1.50575178666667</v>
      </c>
      <c r="G39" s="113" t="n">
        <f aca="false">SUM(G35:G38)</f>
        <v>3.01150357333333</v>
      </c>
    </row>
    <row r="40" customFormat="false" ht="15" hidden="false" customHeight="true" outlineLevel="0" collapsed="false">
      <c r="A40" s="31"/>
      <c r="B40" s="114" t="s">
        <v>1630</v>
      </c>
      <c r="C40" s="115" t="n">
        <f aca="false">SUM(C39:G39)</f>
        <v>13.7580409333333</v>
      </c>
      <c r="D40" s="31"/>
      <c r="E40" s="31"/>
      <c r="F40" s="31"/>
      <c r="G40" s="31"/>
    </row>
    <row r="42" customFormat="false" ht="15" hidden="false" customHeight="true" outlineLevel="0" collapsed="false">
      <c r="B42" s="11" t="s">
        <v>1631</v>
      </c>
      <c r="C42" s="15"/>
      <c r="D42" s="15"/>
      <c r="E42" s="15"/>
      <c r="F42" s="15"/>
      <c r="G42" s="15"/>
    </row>
    <row r="43" customFormat="false" ht="25.5" hidden="false" customHeight="true" outlineLevel="0" collapsed="false">
      <c r="B43" s="13" t="s">
        <v>1632</v>
      </c>
      <c r="C43" s="25" t="n">
        <v>702</v>
      </c>
      <c r="D43" s="19" t="s">
        <v>1633</v>
      </c>
      <c r="E43" s="19"/>
      <c r="F43" s="19"/>
      <c r="G43" s="19"/>
    </row>
    <row r="44" customFormat="false" ht="25.5" hidden="false" customHeight="true" outlineLevel="0" collapsed="false">
      <c r="B44" s="13" t="s">
        <v>1634</v>
      </c>
      <c r="C44" s="25" t="n">
        <v>639</v>
      </c>
      <c r="D44" s="19" t="s">
        <v>1633</v>
      </c>
      <c r="E44" s="19"/>
      <c r="F44" s="19"/>
      <c r="G44" s="19"/>
    </row>
    <row r="45" customFormat="false" ht="25.5" hidden="false" customHeight="true" outlineLevel="0" collapsed="false">
      <c r="B45" s="116" t="s">
        <v>1635</v>
      </c>
      <c r="C45" s="25" t="n">
        <v>9000</v>
      </c>
      <c r="D45" s="19" t="s">
        <v>1636</v>
      </c>
      <c r="E45" s="19"/>
      <c r="F45" s="19"/>
      <c r="G45" s="19"/>
    </row>
    <row r="46" customFormat="false" ht="57.75" hidden="false" customHeight="true" outlineLevel="0" collapsed="false">
      <c r="B46" s="117" t="s">
        <v>1637</v>
      </c>
      <c r="C46" s="56" t="n">
        <v>0</v>
      </c>
      <c r="D46" s="59" t="s">
        <v>1638</v>
      </c>
      <c r="E46" s="59"/>
      <c r="F46" s="59"/>
      <c r="G46" s="59"/>
    </row>
    <row r="47" customFormat="false" ht="25.5" hidden="false" customHeight="true" outlineLevel="0" collapsed="false">
      <c r="B47" s="13" t="s">
        <v>1639</v>
      </c>
      <c r="C47" s="118" t="n">
        <f aca="false">IFERROR(C40*10000000/(C45*5),0)</f>
        <v>3057.34242962963</v>
      </c>
      <c r="D47" s="19" t="s">
        <v>1640</v>
      </c>
      <c r="E47" s="19"/>
      <c r="F47" s="19"/>
      <c r="G47" s="19"/>
    </row>
    <row r="48" customFormat="false" ht="25.5" hidden="false" customHeight="true" outlineLevel="0" collapsed="false">
      <c r="B48" s="13" t="s">
        <v>1641</v>
      </c>
      <c r="C48" s="119" t="n">
        <f aca="false">IFERROR(C40*10000000/(C43+C44),0)</f>
        <v>102595.383544618</v>
      </c>
      <c r="D48" s="66" t="s">
        <v>1642</v>
      </c>
      <c r="E48" s="66"/>
      <c r="F48" s="66"/>
      <c r="G48" s="66"/>
    </row>
    <row r="51" customFormat="false" ht="15" hidden="false" customHeight="true" outlineLevel="0" collapsed="false">
      <c r="B51" s="11" t="s">
        <v>1643</v>
      </c>
      <c r="C51" s="15"/>
      <c r="D51" s="15"/>
      <c r="E51" s="15"/>
      <c r="F51" s="15"/>
      <c r="G51" s="15"/>
    </row>
    <row r="52" customFormat="false" ht="30" hidden="false" customHeight="true" outlineLevel="0" collapsed="false">
      <c r="A52" s="16"/>
      <c r="B52" s="16" t="s">
        <v>1556</v>
      </c>
      <c r="C52" s="16" t="s">
        <v>1644</v>
      </c>
      <c r="D52" s="16" t="s">
        <v>1645</v>
      </c>
      <c r="E52" s="16" t="s">
        <v>1646</v>
      </c>
      <c r="F52" s="16"/>
      <c r="G52" s="16"/>
    </row>
    <row r="53" customFormat="false" ht="15" hidden="false" customHeight="true" outlineLevel="0" collapsed="false">
      <c r="B53" s="17" t="s">
        <v>1647</v>
      </c>
      <c r="C53" s="25" t="n">
        <v>4000</v>
      </c>
      <c r="D53" s="26" t="n">
        <f aca="false">C53*5</f>
        <v>20000</v>
      </c>
      <c r="E53" s="26" t="n">
        <f aca="false">IFERROR($C$40*10000000/D53,0)</f>
        <v>6879.02046666667</v>
      </c>
    </row>
    <row r="54" customFormat="false" ht="15" hidden="false" customHeight="true" outlineLevel="0" collapsed="false">
      <c r="B54" s="17" t="s">
        <v>1648</v>
      </c>
      <c r="C54" s="25" t="n">
        <v>9000</v>
      </c>
      <c r="D54" s="26" t="n">
        <f aca="false">C54*5</f>
        <v>45000</v>
      </c>
      <c r="E54" s="26" t="n">
        <f aca="false">IFERROR($C$40*10000000/D54,0)</f>
        <v>3057.34242962963</v>
      </c>
    </row>
    <row r="55" customFormat="false" ht="15" hidden="false" customHeight="true" outlineLevel="0" collapsed="false">
      <c r="B55" s="17" t="s">
        <v>1649</v>
      </c>
      <c r="C55" s="25" t="n">
        <v>18000</v>
      </c>
      <c r="D55" s="26" t="n">
        <f aca="false">C55*5</f>
        <v>90000</v>
      </c>
      <c r="E55" s="26" t="n">
        <f aca="false">IFERROR($C$40*10000000/D55,0)</f>
        <v>1528.67121481482</v>
      </c>
    </row>
    <row r="56" customFormat="false" ht="45.75" hidden="false" customHeight="true" outlineLevel="0" collapsed="false">
      <c r="B56" s="17" t="s">
        <v>1650</v>
      </c>
      <c r="C56" s="46" t="n">
        <f aca="false">ROUND($C$40*10000000/1000/5,0)</f>
        <v>27516</v>
      </c>
      <c r="E56" s="26" t="n">
        <v>1000</v>
      </c>
      <c r="F56" s="19" t="s">
        <v>1651</v>
      </c>
    </row>
    <row r="58" customFormat="false" ht="30" hidden="false" customHeight="true" outlineLevel="0" collapsed="false">
      <c r="B58" s="19" t="s">
        <v>1652</v>
      </c>
      <c r="C58" s="19"/>
      <c r="D58" s="19"/>
      <c r="E58" s="19"/>
      <c r="F58" s="19"/>
      <c r="G58" s="19"/>
    </row>
  </sheetData>
  <sheetProtection sheet="true"/>
  <mergeCells count="7">
    <mergeCell ref="D43:G43"/>
    <mergeCell ref="D44:G44"/>
    <mergeCell ref="D45:G45"/>
    <mergeCell ref="D46:G46"/>
    <mergeCell ref="D47:G47"/>
    <mergeCell ref="D48:G48"/>
    <mergeCell ref="B58:G58"/>
  </mergeCells>
  <dataValidations count="1">
    <dataValidation allowBlank="true" error="This must be a number of zero or more." errorStyle="stop" errorTitle="Not a number" operator="between" prompt="This must be a number of zero or more." promptTitle="Input cell" showDropDown="false" showErrorMessage="true" showInputMessage="false" sqref="C13:E25 C32 C43:C46 C53:C55" type="decimal">
      <formula1>0</formula1>
      <formula2>1000000000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4"/>
    <col collapsed="false" customWidth="true" hidden="false" outlineLevel="0" max="5" min="3" style="1" width="16"/>
    <col collapsed="false" customWidth="true" hidden="false" outlineLevel="0" max="6" min="6" style="1" width="58"/>
  </cols>
  <sheetData>
    <row r="1" customFormat="false" ht="17.25" hidden="false" customHeight="true" outlineLevel="0" collapsed="false">
      <c r="A1" s="2" t="s">
        <v>1653</v>
      </c>
    </row>
    <row r="2" customFormat="false" ht="15" hidden="false" customHeight="true" outlineLevel="0" collapsed="false">
      <c r="A2" s="3" t="s">
        <v>1654</v>
      </c>
    </row>
    <row r="4" customFormat="false" ht="15" hidden="false" customHeight="true" outlineLevel="0" collapsed="false">
      <c r="B4" s="13" t="s">
        <v>1655</v>
      </c>
      <c r="C4" s="76" t="n">
        <f aca="false">'Scenarios &amp; Cost'!E6</f>
        <v>5.619282</v>
      </c>
    </row>
    <row r="5" customFormat="false" ht="27.75" hidden="false" customHeight="true" outlineLevel="0" collapsed="false">
      <c r="B5" s="13" t="s">
        <v>1656</v>
      </c>
      <c r="C5" s="92" t="n">
        <v>0.28</v>
      </c>
      <c r="D5" s="19" t="s">
        <v>1657</v>
      </c>
    </row>
    <row r="6" customFormat="false" ht="15" hidden="false" customHeight="true" outlineLevel="0" collapsed="false">
      <c r="B6" s="13" t="s">
        <v>1658</v>
      </c>
      <c r="C6" s="38" t="n">
        <f aca="false">IFERROR(C4/(1-C5),0)</f>
        <v>7.80455833333333</v>
      </c>
    </row>
    <row r="7" customFormat="false" ht="45.75" hidden="false" customHeight="true" outlineLevel="0" collapsed="false">
      <c r="B7" s="13" t="s">
        <v>1659</v>
      </c>
      <c r="C7" s="92" t="n">
        <v>0.18</v>
      </c>
      <c r="D7" s="19" t="s">
        <v>1660</v>
      </c>
    </row>
    <row r="8" customFormat="false" ht="15" hidden="false" customHeight="true" outlineLevel="0" collapsed="false">
      <c r="B8" s="32" t="s">
        <v>1661</v>
      </c>
      <c r="C8" s="120" t="n">
        <f aca="false">C6*(1+C7)</f>
        <v>9.20937883333333</v>
      </c>
      <c r="D8" s="31"/>
      <c r="E8" s="31"/>
      <c r="F8" s="31"/>
    </row>
    <row r="11" customFormat="false" ht="15" hidden="false" customHeight="true" outlineLevel="0" collapsed="false">
      <c r="B11" s="11" t="s">
        <v>1662</v>
      </c>
      <c r="C11" s="15"/>
      <c r="D11" s="15"/>
      <c r="E11" s="15"/>
      <c r="F11" s="15"/>
    </row>
    <row r="12" customFormat="false" ht="30" hidden="false" customHeight="true" outlineLevel="0" collapsed="false">
      <c r="A12" s="16" t="s">
        <v>95</v>
      </c>
      <c r="B12" s="16" t="s">
        <v>1663</v>
      </c>
      <c r="C12" s="16" t="s">
        <v>1664</v>
      </c>
      <c r="D12" s="16" t="s">
        <v>1665</v>
      </c>
      <c r="E12" s="16" t="s">
        <v>1666</v>
      </c>
      <c r="F12" s="16" t="s">
        <v>1667</v>
      </c>
    </row>
    <row r="13" customFormat="false" ht="21.75" hidden="false" customHeight="true" outlineLevel="0" collapsed="false">
      <c r="A13" s="17" t="s">
        <v>715</v>
      </c>
      <c r="B13" s="14" t="s">
        <v>1668</v>
      </c>
      <c r="C13" s="68" t="s">
        <v>720</v>
      </c>
      <c r="D13" s="92" t="n">
        <v>0.1</v>
      </c>
      <c r="E13" s="41" t="n">
        <f aca="false">$C$6*D13</f>
        <v>0.780455833333333</v>
      </c>
      <c r="F13" s="19" t="s">
        <v>1669</v>
      </c>
    </row>
    <row r="14" customFormat="false" ht="21.75" hidden="false" customHeight="true" outlineLevel="0" collapsed="false">
      <c r="A14" s="17" t="s">
        <v>720</v>
      </c>
      <c r="B14" s="14" t="s">
        <v>1670</v>
      </c>
      <c r="C14" s="68" t="s">
        <v>728</v>
      </c>
      <c r="D14" s="92" t="n">
        <v>0.1</v>
      </c>
      <c r="E14" s="41" t="n">
        <f aca="false">$C$6*D14</f>
        <v>0.780455833333333</v>
      </c>
      <c r="F14" s="19" t="s">
        <v>1671</v>
      </c>
    </row>
    <row r="15" customFormat="false" ht="21.75" hidden="false" customHeight="true" outlineLevel="0" collapsed="false">
      <c r="A15" s="17" t="s">
        <v>725</v>
      </c>
      <c r="B15" s="14" t="s">
        <v>1672</v>
      </c>
      <c r="C15" s="68" t="s">
        <v>1077</v>
      </c>
      <c r="D15" s="92" t="n">
        <v>0.15</v>
      </c>
      <c r="E15" s="41" t="n">
        <f aca="false">$C$6*D15</f>
        <v>1.17068375</v>
      </c>
      <c r="F15" s="19" t="s">
        <v>1673</v>
      </c>
    </row>
    <row r="16" customFormat="false" ht="21.75" hidden="false" customHeight="true" outlineLevel="0" collapsed="false">
      <c r="A16" s="17" t="s">
        <v>728</v>
      </c>
      <c r="B16" s="14" t="s">
        <v>1674</v>
      </c>
      <c r="C16" s="68" t="s">
        <v>1675</v>
      </c>
      <c r="D16" s="92" t="n">
        <v>0.15</v>
      </c>
      <c r="E16" s="41" t="n">
        <f aca="false">$C$6*D16</f>
        <v>1.17068375</v>
      </c>
      <c r="F16" s="19" t="s">
        <v>1676</v>
      </c>
    </row>
    <row r="17" customFormat="false" ht="21.75" hidden="false" customHeight="true" outlineLevel="0" collapsed="false">
      <c r="A17" s="17" t="s">
        <v>803</v>
      </c>
      <c r="B17" s="14" t="s">
        <v>1677</v>
      </c>
      <c r="C17" s="68" t="s">
        <v>1678</v>
      </c>
      <c r="D17" s="92" t="n">
        <v>0.1</v>
      </c>
      <c r="E17" s="41" t="n">
        <f aca="false">$C$6*D17</f>
        <v>0.780455833333333</v>
      </c>
      <c r="F17" s="19" t="s">
        <v>1679</v>
      </c>
    </row>
    <row r="18" customFormat="false" ht="21.75" hidden="false" customHeight="true" outlineLevel="0" collapsed="false">
      <c r="A18" s="17" t="s">
        <v>804</v>
      </c>
      <c r="B18" s="14" t="s">
        <v>1680</v>
      </c>
      <c r="C18" s="68" t="s">
        <v>1681</v>
      </c>
      <c r="D18" s="92" t="n">
        <v>0.15</v>
      </c>
      <c r="E18" s="41" t="n">
        <f aca="false">$C$6*D18</f>
        <v>1.17068375</v>
      </c>
      <c r="F18" s="19" t="s">
        <v>1682</v>
      </c>
    </row>
    <row r="19" customFormat="false" ht="21.75" hidden="false" customHeight="true" outlineLevel="0" collapsed="false">
      <c r="A19" s="17" t="s">
        <v>1077</v>
      </c>
      <c r="B19" s="14" t="s">
        <v>1683</v>
      </c>
      <c r="C19" s="68" t="s">
        <v>1684</v>
      </c>
      <c r="D19" s="92" t="n">
        <v>0.05</v>
      </c>
      <c r="E19" s="41" t="n">
        <f aca="false">$C$6*D19</f>
        <v>0.390227916666667</v>
      </c>
      <c r="F19" s="19" t="s">
        <v>1685</v>
      </c>
    </row>
    <row r="20" customFormat="false" ht="21.75" hidden="false" customHeight="true" outlineLevel="0" collapsed="false">
      <c r="A20" s="17" t="s">
        <v>1686</v>
      </c>
      <c r="B20" s="14" t="s">
        <v>1687</v>
      </c>
      <c r="C20" s="68" t="s">
        <v>1688</v>
      </c>
      <c r="D20" s="92" t="n">
        <v>0.1</v>
      </c>
      <c r="E20" s="41" t="n">
        <f aca="false">$C$6*D20</f>
        <v>0.780455833333333</v>
      </c>
      <c r="F20" s="19" t="s">
        <v>1689</v>
      </c>
    </row>
    <row r="21" customFormat="false" ht="21.75" hidden="false" customHeight="true" outlineLevel="0" collapsed="false">
      <c r="A21" s="17" t="s">
        <v>1690</v>
      </c>
      <c r="B21" s="14" t="s">
        <v>1691</v>
      </c>
      <c r="C21" s="68" t="s">
        <v>1692</v>
      </c>
      <c r="D21" s="92" t="n">
        <v>0.1</v>
      </c>
      <c r="E21" s="41" t="n">
        <f aca="false">$C$6*D21</f>
        <v>0.780455833333333</v>
      </c>
      <c r="F21" s="19" t="s">
        <v>1693</v>
      </c>
    </row>
    <row r="22" customFormat="false" ht="15" hidden="false" customHeight="true" outlineLevel="0" collapsed="false">
      <c r="A22" s="28"/>
      <c r="B22" s="29" t="s">
        <v>1694</v>
      </c>
      <c r="C22" s="28"/>
      <c r="D22" s="121" t="n">
        <f aca="false">SUM(D13:D21)</f>
        <v>1</v>
      </c>
      <c r="E22" s="113" t="n">
        <f aca="false">SUM(E13:E21)</f>
        <v>7.80455833333333</v>
      </c>
      <c r="F22" s="28"/>
    </row>
    <row r="24" customFormat="false" ht="15" hidden="false" customHeight="true" outlineLevel="0" collapsed="false">
      <c r="B24" s="13" t="s">
        <v>1695</v>
      </c>
      <c r="C24" s="41" t="n">
        <f aca="false">ROUND(-'Scenarios &amp; Cost'!E6*0.24,2)</f>
        <v>-1.35</v>
      </c>
      <c r="D24" s="19" t="s">
        <v>1696</v>
      </c>
      <c r="E24" s="19"/>
      <c r="F24" s="19"/>
    </row>
    <row r="26" customFormat="false" ht="15" hidden="false" customHeight="true" outlineLevel="0" collapsed="false">
      <c r="B26" s="11" t="s">
        <v>1697</v>
      </c>
      <c r="C26" s="15"/>
      <c r="D26" s="15"/>
      <c r="E26" s="15"/>
      <c r="F26" s="15"/>
    </row>
    <row r="27" customFormat="false" ht="30" hidden="false" customHeight="true" outlineLevel="0" collapsed="false">
      <c r="A27" s="16" t="s">
        <v>95</v>
      </c>
      <c r="B27" s="16" t="s">
        <v>1577</v>
      </c>
      <c r="C27" s="16" t="s">
        <v>1698</v>
      </c>
      <c r="D27" s="16" t="s">
        <v>1666</v>
      </c>
      <c r="E27" s="16"/>
      <c r="F27" s="16" t="s">
        <v>568</v>
      </c>
    </row>
    <row r="28" customFormat="false" ht="24" hidden="false" customHeight="true" outlineLevel="0" collapsed="false">
      <c r="A28" s="17" t="s">
        <v>603</v>
      </c>
      <c r="B28" s="14" t="s">
        <v>1699</v>
      </c>
      <c r="C28" s="92" t="n">
        <v>0.02</v>
      </c>
      <c r="D28" s="41" t="n">
        <f aca="false">$C$6*C28</f>
        <v>0.156091166666667</v>
      </c>
      <c r="F28" s="19" t="s">
        <v>1700</v>
      </c>
    </row>
    <row r="29" customFormat="false" ht="24" hidden="false" customHeight="true" outlineLevel="0" collapsed="false">
      <c r="A29" s="17" t="s">
        <v>606</v>
      </c>
      <c r="B29" s="14" t="s">
        <v>1701</v>
      </c>
      <c r="C29" s="92" t="n">
        <v>0.1</v>
      </c>
      <c r="D29" s="41" t="n">
        <f aca="false">$C$6*C29</f>
        <v>0.780455833333333</v>
      </c>
      <c r="F29" s="19" t="s">
        <v>1702</v>
      </c>
    </row>
    <row r="30" customFormat="false" ht="24" hidden="false" customHeight="true" outlineLevel="0" collapsed="false">
      <c r="A30" s="17" t="s">
        <v>609</v>
      </c>
      <c r="B30" s="14" t="s">
        <v>1703</v>
      </c>
      <c r="C30" s="92" t="n">
        <v>0.1</v>
      </c>
      <c r="D30" s="41" t="n">
        <f aca="false">$C$6*C30</f>
        <v>0.780455833333333</v>
      </c>
      <c r="F30" s="19" t="s">
        <v>1704</v>
      </c>
    </row>
    <row r="31" customFormat="false" ht="24" hidden="false" customHeight="true" outlineLevel="0" collapsed="false">
      <c r="A31" s="17" t="s">
        <v>808</v>
      </c>
      <c r="B31" s="14" t="s">
        <v>1705</v>
      </c>
      <c r="C31" s="92" t="n">
        <v>0.015</v>
      </c>
      <c r="D31" s="41" t="n">
        <f aca="false">$C$6*0.1*C31</f>
        <v>0.0117068375</v>
      </c>
      <c r="F31" s="19" t="s">
        <v>1706</v>
      </c>
    </row>
    <row r="33" customFormat="false" ht="25.5" hidden="false" customHeight="true" outlineLevel="0" collapsed="false">
      <c r="B33" s="13" t="s">
        <v>1707</v>
      </c>
      <c r="C33" s="122" t="n">
        <f aca="false">IFERROR((C6-C6*0.1-'Scenarios &amp; Cost'!E6)/C6,0)</f>
        <v>0.18</v>
      </c>
      <c r="D33" s="19" t="s">
        <v>1708</v>
      </c>
      <c r="E33" s="19"/>
      <c r="F33" s="19"/>
    </row>
  </sheetData>
  <sheetProtection sheet="true"/>
  <mergeCells count="2">
    <mergeCell ref="D24:F24"/>
    <mergeCell ref="D33:F33"/>
  </mergeCells>
  <dataValidations count="2">
    <dataValidation allowBlank="true" error="This must be a number of zero or more." errorStyle="stop" errorTitle="Not a number" operator="between" prompt="This must be a number of zero or more." promptTitle="Input cell" showDropDown="false" showErrorMessage="true" showInputMessage="false" sqref="C5 C7" type="decimal">
      <formula1>0</formula1>
      <formula2>1000000000</formula2>
    </dataValidation>
    <dataValidation allowBlank="true" error="A percentage must lie between 0 and 1 (0.28 means 28%)." errorStyle="stop" errorTitle="Out of range" operator="between" prompt="A percentage must lie between 0 and 1 (0.28 means 28%)." promptTitle="Input cell" showDropDown="false" showErrorMessage="true" showInputMessage="false" sqref="D13:D21 C28:C31"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0"/>
    <col collapsed="false" customWidth="true" hidden="false" outlineLevel="0" max="4" min="3" style="1" width="10"/>
    <col collapsed="false" customWidth="true" hidden="false" outlineLevel="0" max="5" min="5" style="1" width="9"/>
    <col collapsed="false" customWidth="true" hidden="false" outlineLevel="0" max="21" min="6" style="1" width="5"/>
    <col collapsed="false" customWidth="true" hidden="false" outlineLevel="0" max="22" min="22" style="1" width="38"/>
  </cols>
  <sheetData>
    <row r="1" customFormat="false" ht="17.25" hidden="false" customHeight="true" outlineLevel="0" collapsed="false">
      <c r="A1" s="2" t="s">
        <v>1709</v>
      </c>
    </row>
    <row r="2" customFormat="false" ht="15" hidden="false" customHeight="true" outlineLevel="0" collapsed="false">
      <c r="A2" s="3" t="s">
        <v>1710</v>
      </c>
    </row>
    <row r="4" customFormat="false" ht="30" hidden="false" customHeight="true" outlineLevel="0" collapsed="false">
      <c r="A4" s="16" t="s">
        <v>95</v>
      </c>
      <c r="B4" s="16" t="s">
        <v>1244</v>
      </c>
      <c r="C4" s="16" t="s">
        <v>1711</v>
      </c>
      <c r="D4" s="16" t="s">
        <v>1712</v>
      </c>
      <c r="E4" s="16" t="s">
        <v>1713</v>
      </c>
      <c r="F4" s="16" t="s">
        <v>715</v>
      </c>
      <c r="G4" s="16" t="s">
        <v>720</v>
      </c>
      <c r="H4" s="16" t="s">
        <v>725</v>
      </c>
      <c r="I4" s="16" t="s">
        <v>728</v>
      </c>
      <c r="J4" s="16" t="s">
        <v>803</v>
      </c>
      <c r="K4" s="16" t="s">
        <v>804</v>
      </c>
      <c r="L4" s="16" t="s">
        <v>1077</v>
      </c>
      <c r="M4" s="16" t="s">
        <v>1686</v>
      </c>
      <c r="N4" s="16" t="s">
        <v>1690</v>
      </c>
      <c r="O4" s="16" t="s">
        <v>1675</v>
      </c>
      <c r="P4" s="16" t="s">
        <v>1678</v>
      </c>
      <c r="Q4" s="16" t="s">
        <v>1681</v>
      </c>
      <c r="R4" s="16" t="s">
        <v>1684</v>
      </c>
      <c r="S4" s="16" t="s">
        <v>1688</v>
      </c>
      <c r="T4" s="16" t="s">
        <v>1714</v>
      </c>
      <c r="U4" s="16" t="s">
        <v>1692</v>
      </c>
      <c r="V4" s="16" t="s">
        <v>1715</v>
      </c>
    </row>
    <row r="5" customFormat="false" ht="19.5" hidden="false" customHeight="true" outlineLevel="0" collapsed="false">
      <c r="A5" s="17" t="s">
        <v>1716</v>
      </c>
      <c r="B5" s="14" t="s">
        <v>1717</v>
      </c>
      <c r="C5" s="68" t="s">
        <v>715</v>
      </c>
      <c r="D5" s="68" t="s">
        <v>720</v>
      </c>
      <c r="E5" s="68" t="n">
        <v>2</v>
      </c>
      <c r="F5" s="123"/>
      <c r="G5" s="123"/>
      <c r="H5" s="124"/>
      <c r="I5" s="124"/>
      <c r="J5" s="124"/>
      <c r="K5" s="124"/>
      <c r="L5" s="124"/>
      <c r="M5" s="124"/>
      <c r="N5" s="124"/>
      <c r="O5" s="124"/>
      <c r="P5" s="124"/>
      <c r="Q5" s="124"/>
      <c r="R5" s="124"/>
      <c r="S5" s="124"/>
      <c r="T5" s="124"/>
      <c r="U5" s="124"/>
      <c r="V5" s="19" t="s">
        <v>1718</v>
      </c>
    </row>
    <row r="6" customFormat="false" ht="19.5" hidden="false" customHeight="true" outlineLevel="0" collapsed="false">
      <c r="A6" s="17" t="s">
        <v>666</v>
      </c>
      <c r="B6" s="14" t="s">
        <v>1719</v>
      </c>
      <c r="C6" s="68" t="s">
        <v>720</v>
      </c>
      <c r="D6" s="68" t="s">
        <v>728</v>
      </c>
      <c r="E6" s="68" t="n">
        <v>3</v>
      </c>
      <c r="F6" s="124"/>
      <c r="G6" s="123"/>
      <c r="H6" s="123"/>
      <c r="I6" s="123"/>
      <c r="J6" s="124"/>
      <c r="K6" s="124"/>
      <c r="L6" s="124"/>
      <c r="M6" s="124"/>
      <c r="N6" s="124"/>
      <c r="O6" s="124"/>
      <c r="P6" s="124"/>
      <c r="Q6" s="124"/>
      <c r="R6" s="124"/>
      <c r="S6" s="124"/>
      <c r="T6" s="124"/>
      <c r="U6" s="124"/>
      <c r="V6" s="19" t="s">
        <v>1720</v>
      </c>
    </row>
    <row r="7" customFormat="false" ht="19.5" hidden="false" customHeight="true" outlineLevel="0" collapsed="false">
      <c r="A7" s="17" t="s">
        <v>668</v>
      </c>
      <c r="B7" s="14" t="s">
        <v>1721</v>
      </c>
      <c r="C7" s="68" t="s">
        <v>725</v>
      </c>
      <c r="D7" s="68" t="s">
        <v>1077</v>
      </c>
      <c r="E7" s="68" t="n">
        <v>5</v>
      </c>
      <c r="F7" s="124"/>
      <c r="G7" s="124"/>
      <c r="H7" s="123"/>
      <c r="I7" s="123"/>
      <c r="J7" s="123"/>
      <c r="K7" s="123"/>
      <c r="L7" s="123"/>
      <c r="M7" s="124"/>
      <c r="N7" s="124"/>
      <c r="O7" s="124"/>
      <c r="P7" s="124"/>
      <c r="Q7" s="124"/>
      <c r="R7" s="124"/>
      <c r="S7" s="124"/>
      <c r="T7" s="124"/>
      <c r="U7" s="124"/>
      <c r="V7" s="19" t="s">
        <v>1722</v>
      </c>
    </row>
    <row r="8" customFormat="false" ht="19.5" hidden="false" customHeight="true" outlineLevel="0" collapsed="false">
      <c r="A8" s="17" t="s">
        <v>961</v>
      </c>
      <c r="B8" s="14" t="s">
        <v>1723</v>
      </c>
      <c r="C8" s="68" t="s">
        <v>728</v>
      </c>
      <c r="D8" s="68" t="s">
        <v>1675</v>
      </c>
      <c r="E8" s="68" t="n">
        <v>7</v>
      </c>
      <c r="F8" s="124"/>
      <c r="G8" s="124"/>
      <c r="H8" s="124"/>
      <c r="I8" s="123"/>
      <c r="J8" s="123"/>
      <c r="K8" s="123"/>
      <c r="L8" s="123"/>
      <c r="M8" s="123"/>
      <c r="N8" s="123"/>
      <c r="O8" s="123"/>
      <c r="P8" s="124"/>
      <c r="Q8" s="124"/>
      <c r="R8" s="124"/>
      <c r="S8" s="124"/>
      <c r="T8" s="124"/>
      <c r="U8" s="124"/>
      <c r="V8" s="19" t="s">
        <v>1724</v>
      </c>
    </row>
    <row r="9" customFormat="false" ht="19.5" hidden="false" customHeight="true" outlineLevel="0" collapsed="false">
      <c r="A9" s="17" t="s">
        <v>963</v>
      </c>
      <c r="B9" s="14" t="s">
        <v>1725</v>
      </c>
      <c r="C9" s="68" t="s">
        <v>803</v>
      </c>
      <c r="D9" s="68" t="s">
        <v>1681</v>
      </c>
      <c r="E9" s="68" t="n">
        <v>8</v>
      </c>
      <c r="F9" s="124"/>
      <c r="G9" s="124"/>
      <c r="H9" s="124"/>
      <c r="I9" s="124"/>
      <c r="J9" s="123"/>
      <c r="K9" s="123"/>
      <c r="L9" s="123"/>
      <c r="M9" s="123"/>
      <c r="N9" s="123"/>
      <c r="O9" s="123"/>
      <c r="P9" s="123"/>
      <c r="Q9" s="123"/>
      <c r="R9" s="124"/>
      <c r="S9" s="124"/>
      <c r="T9" s="124"/>
      <c r="U9" s="124"/>
      <c r="V9" s="19" t="s">
        <v>1726</v>
      </c>
    </row>
    <row r="10" customFormat="false" ht="19.5" hidden="false" customHeight="true" outlineLevel="0" collapsed="false">
      <c r="A10" s="17" t="s">
        <v>966</v>
      </c>
      <c r="B10" s="14" t="s">
        <v>1727</v>
      </c>
      <c r="C10" s="68" t="s">
        <v>1077</v>
      </c>
      <c r="D10" s="68" t="s">
        <v>1681</v>
      </c>
      <c r="E10" s="68" t="n">
        <v>6</v>
      </c>
      <c r="F10" s="124"/>
      <c r="G10" s="124"/>
      <c r="H10" s="124"/>
      <c r="I10" s="124"/>
      <c r="J10" s="124"/>
      <c r="K10" s="124"/>
      <c r="L10" s="123"/>
      <c r="M10" s="123"/>
      <c r="N10" s="123"/>
      <c r="O10" s="123"/>
      <c r="P10" s="123"/>
      <c r="Q10" s="123"/>
      <c r="R10" s="124"/>
      <c r="S10" s="124"/>
      <c r="T10" s="124"/>
      <c r="U10" s="124"/>
      <c r="V10" s="19" t="s">
        <v>1728</v>
      </c>
    </row>
    <row r="11" customFormat="false" ht="19.5" hidden="false" customHeight="true" outlineLevel="0" collapsed="false">
      <c r="A11" s="17" t="s">
        <v>968</v>
      </c>
      <c r="B11" s="14" t="s">
        <v>1729</v>
      </c>
      <c r="C11" s="68" t="s">
        <v>1686</v>
      </c>
      <c r="D11" s="68" t="s">
        <v>1678</v>
      </c>
      <c r="E11" s="68" t="n">
        <v>4</v>
      </c>
      <c r="F11" s="124"/>
      <c r="G11" s="124"/>
      <c r="H11" s="124"/>
      <c r="I11" s="124"/>
      <c r="J11" s="124"/>
      <c r="K11" s="124"/>
      <c r="L11" s="124"/>
      <c r="M11" s="123"/>
      <c r="N11" s="123"/>
      <c r="O11" s="123"/>
      <c r="P11" s="123"/>
      <c r="Q11" s="124"/>
      <c r="R11" s="124"/>
      <c r="S11" s="124"/>
      <c r="T11" s="124"/>
      <c r="U11" s="124"/>
      <c r="V11" s="19" t="s">
        <v>1730</v>
      </c>
    </row>
    <row r="12" customFormat="false" ht="19.5" hidden="false" customHeight="true" outlineLevel="0" collapsed="false">
      <c r="A12" s="17" t="s">
        <v>970</v>
      </c>
      <c r="B12" s="14" t="s">
        <v>1731</v>
      </c>
      <c r="C12" s="68" t="s">
        <v>1690</v>
      </c>
      <c r="D12" s="68" t="s">
        <v>1688</v>
      </c>
      <c r="E12" s="68" t="n">
        <v>6</v>
      </c>
      <c r="F12" s="124"/>
      <c r="G12" s="124"/>
      <c r="H12" s="124"/>
      <c r="I12" s="124"/>
      <c r="J12" s="124"/>
      <c r="K12" s="124"/>
      <c r="L12" s="124"/>
      <c r="M12" s="124"/>
      <c r="N12" s="123"/>
      <c r="O12" s="123"/>
      <c r="P12" s="123"/>
      <c r="Q12" s="123"/>
      <c r="R12" s="123"/>
      <c r="S12" s="123"/>
      <c r="T12" s="124"/>
      <c r="U12" s="124"/>
      <c r="V12" s="19" t="s">
        <v>1732</v>
      </c>
    </row>
    <row r="13" customFormat="false" ht="19.5" hidden="false" customHeight="true" outlineLevel="0" collapsed="false">
      <c r="A13" s="17" t="s">
        <v>1733</v>
      </c>
      <c r="B13" s="14" t="s">
        <v>1734</v>
      </c>
      <c r="C13" s="68" t="s">
        <v>1678</v>
      </c>
      <c r="D13" s="68" t="s">
        <v>1688</v>
      </c>
      <c r="E13" s="68" t="n">
        <v>4</v>
      </c>
      <c r="F13" s="124"/>
      <c r="G13" s="124"/>
      <c r="H13" s="124"/>
      <c r="I13" s="124"/>
      <c r="J13" s="124"/>
      <c r="K13" s="124"/>
      <c r="L13" s="124"/>
      <c r="M13" s="124"/>
      <c r="N13" s="124"/>
      <c r="O13" s="124"/>
      <c r="P13" s="123"/>
      <c r="Q13" s="123"/>
      <c r="R13" s="123"/>
      <c r="S13" s="123"/>
      <c r="T13" s="124"/>
      <c r="U13" s="124"/>
      <c r="V13" s="19" t="s">
        <v>1735</v>
      </c>
    </row>
    <row r="14" customFormat="false" ht="19.5" hidden="false" customHeight="true" outlineLevel="0" collapsed="false">
      <c r="A14" s="17" t="s">
        <v>1736</v>
      </c>
      <c r="B14" s="14" t="s">
        <v>1737</v>
      </c>
      <c r="C14" s="68" t="s">
        <v>1681</v>
      </c>
      <c r="D14" s="68" t="s">
        <v>1681</v>
      </c>
      <c r="E14" s="68" t="n">
        <v>1</v>
      </c>
      <c r="F14" s="124"/>
      <c r="G14" s="124"/>
      <c r="H14" s="124"/>
      <c r="I14" s="124"/>
      <c r="J14" s="124"/>
      <c r="K14" s="124"/>
      <c r="L14" s="124"/>
      <c r="M14" s="124"/>
      <c r="N14" s="124"/>
      <c r="O14" s="124"/>
      <c r="P14" s="124"/>
      <c r="Q14" s="125"/>
      <c r="R14" s="124"/>
      <c r="S14" s="124"/>
      <c r="T14" s="124"/>
      <c r="U14" s="124"/>
      <c r="V14" s="19" t="s">
        <v>1738</v>
      </c>
    </row>
    <row r="15" customFormat="false" ht="19.5" hidden="false" customHeight="true" outlineLevel="0" collapsed="false">
      <c r="A15" s="17" t="s">
        <v>1739</v>
      </c>
      <c r="B15" s="14" t="s">
        <v>1740</v>
      </c>
      <c r="C15" s="68" t="s">
        <v>1684</v>
      </c>
      <c r="D15" s="68" t="s">
        <v>1688</v>
      </c>
      <c r="E15" s="68" t="n">
        <v>2</v>
      </c>
      <c r="F15" s="124"/>
      <c r="G15" s="124"/>
      <c r="H15" s="124"/>
      <c r="I15" s="124"/>
      <c r="J15" s="124"/>
      <c r="K15" s="124"/>
      <c r="L15" s="124"/>
      <c r="M15" s="124"/>
      <c r="N15" s="124"/>
      <c r="O15" s="124"/>
      <c r="P15" s="124"/>
      <c r="Q15" s="124"/>
      <c r="R15" s="123"/>
      <c r="S15" s="123"/>
      <c r="T15" s="124"/>
      <c r="U15" s="124"/>
      <c r="V15" s="19" t="s">
        <v>1741</v>
      </c>
    </row>
    <row r="16" customFormat="false" ht="19.5" hidden="false" customHeight="true" outlineLevel="0" collapsed="false">
      <c r="A16" s="17" t="s">
        <v>1742</v>
      </c>
      <c r="B16" s="14" t="s">
        <v>1743</v>
      </c>
      <c r="C16" s="68" t="s">
        <v>1688</v>
      </c>
      <c r="D16" s="68" t="s">
        <v>1692</v>
      </c>
      <c r="E16" s="68" t="n">
        <v>3</v>
      </c>
      <c r="F16" s="124"/>
      <c r="G16" s="124"/>
      <c r="H16" s="124"/>
      <c r="I16" s="124"/>
      <c r="J16" s="124"/>
      <c r="K16" s="124"/>
      <c r="L16" s="124"/>
      <c r="M16" s="124"/>
      <c r="N16" s="124"/>
      <c r="O16" s="124"/>
      <c r="P16" s="124"/>
      <c r="Q16" s="124"/>
      <c r="R16" s="124"/>
      <c r="S16" s="123"/>
      <c r="T16" s="123"/>
      <c r="U16" s="123"/>
      <c r="V16" s="19" t="s">
        <v>1744</v>
      </c>
    </row>
    <row r="19" customFormat="false" ht="15" hidden="false" customHeight="true" outlineLevel="0" collapsed="false">
      <c r="B19" s="13" t="s">
        <v>1745</v>
      </c>
      <c r="F19" s="52" t="n">
        <v>20</v>
      </c>
      <c r="G19" s="52" t="n">
        <v>38</v>
      </c>
      <c r="H19" s="52" t="n">
        <v>56</v>
      </c>
      <c r="I19" s="52" t="n">
        <v>71</v>
      </c>
      <c r="J19" s="52" t="n">
        <v>84</v>
      </c>
      <c r="K19" s="52" t="n">
        <v>92</v>
      </c>
      <c r="L19" s="52" t="n">
        <v>97</v>
      </c>
      <c r="M19" s="52" t="n">
        <v>99</v>
      </c>
      <c r="N19" s="52" t="n">
        <v>97</v>
      </c>
      <c r="O19" s="52" t="n">
        <v>92</v>
      </c>
      <c r="P19" s="52" t="n">
        <v>84</v>
      </c>
      <c r="Q19" s="52" t="n">
        <v>74</v>
      </c>
      <c r="R19" s="52" t="n">
        <v>56</v>
      </c>
      <c r="S19" s="52" t="n">
        <v>37</v>
      </c>
      <c r="T19" s="52" t="n">
        <v>22</v>
      </c>
      <c r="U19" s="52" t="n">
        <v>15</v>
      </c>
    </row>
    <row r="20" customFormat="false" ht="15" hidden="false" customHeight="true" outlineLevel="0" collapsed="false">
      <c r="B20" s="13" t="s">
        <v>1746</v>
      </c>
      <c r="E20" s="46" t="n">
        <f aca="false">SUM(F20:U20)</f>
        <v>3713</v>
      </c>
      <c r="F20" s="26" t="n">
        <f aca="false">ROUND('Monte Carlo'!$C$31*F$19/SUM($F$19:$U$19),0)</f>
        <v>72</v>
      </c>
      <c r="G20" s="26" t="n">
        <f aca="false">ROUND('Monte Carlo'!$C$31*G$19/SUM($F$19:$U$19),0)</f>
        <v>136</v>
      </c>
      <c r="H20" s="26" t="n">
        <f aca="false">ROUND('Monte Carlo'!$C$31*H$19/SUM($F$19:$U$19),0)</f>
        <v>201</v>
      </c>
      <c r="I20" s="26" t="n">
        <f aca="false">ROUND('Monte Carlo'!$C$31*I$19/SUM($F$19:$U$19),0)</f>
        <v>255</v>
      </c>
      <c r="J20" s="26" t="n">
        <f aca="false">ROUND('Monte Carlo'!$C$31*J$19/SUM($F$19:$U$19),0)</f>
        <v>302</v>
      </c>
      <c r="K20" s="26" t="n">
        <f aca="false">ROUND('Monte Carlo'!$C$31*K$19/SUM($F$19:$U$19),0)</f>
        <v>330</v>
      </c>
      <c r="L20" s="26" t="n">
        <f aca="false">ROUND('Monte Carlo'!$C$31*L$19/SUM($F$19:$U$19),0)</f>
        <v>348</v>
      </c>
      <c r="M20" s="26" t="n">
        <f aca="false">ROUND('Monte Carlo'!$C$31*M$19/SUM($F$19:$U$19),0)</f>
        <v>356</v>
      </c>
      <c r="N20" s="26" t="n">
        <f aca="false">ROUND('Monte Carlo'!$C$31*N$19/SUM($F$19:$U$19),0)</f>
        <v>348</v>
      </c>
      <c r="O20" s="26" t="n">
        <f aca="false">ROUND('Monte Carlo'!$C$31*O$19/SUM($F$19:$U$19),0)</f>
        <v>330</v>
      </c>
      <c r="P20" s="26" t="n">
        <f aca="false">ROUND('Monte Carlo'!$C$31*P$19/SUM($F$19:$U$19),0)</f>
        <v>302</v>
      </c>
      <c r="Q20" s="26" t="n">
        <f aca="false">ROUND('Monte Carlo'!$C$31*Q$19/SUM($F$19:$U$19),0)</f>
        <v>266</v>
      </c>
      <c r="R20" s="26" t="n">
        <f aca="false">ROUND('Monte Carlo'!$C$31*R$19/SUM($F$19:$U$19),0)</f>
        <v>201</v>
      </c>
      <c r="S20" s="26" t="n">
        <f aca="false">ROUND('Monte Carlo'!$C$31*S$19/SUM($F$19:$U$19),0)</f>
        <v>133</v>
      </c>
      <c r="T20" s="26" t="n">
        <f aca="false">ROUND('Monte Carlo'!$C$31*T$19/SUM($F$19:$U$19),0)</f>
        <v>79</v>
      </c>
      <c r="U20" s="26" t="n">
        <f aca="false">ROUND('Monte Carlo'!$C$31*U$19/SUM($F$19:$U$19),0)</f>
        <v>54</v>
      </c>
    </row>
    <row r="21" customFormat="false" ht="15" hidden="false" customHeight="true" outlineLevel="0" collapsed="false">
      <c r="B21" s="13" t="s">
        <v>1747</v>
      </c>
      <c r="F21" s="27" t="n">
        <f aca="false">ROUND(F20/21,1)</f>
        <v>3.4</v>
      </c>
      <c r="G21" s="27" t="n">
        <f aca="false">ROUND(G20/21,1)</f>
        <v>6.5</v>
      </c>
      <c r="H21" s="27" t="n">
        <f aca="false">ROUND(H20/21,1)</f>
        <v>9.6</v>
      </c>
      <c r="I21" s="27" t="n">
        <f aca="false">ROUND(I20/21,1)</f>
        <v>12.1</v>
      </c>
      <c r="J21" s="27" t="n">
        <f aca="false">ROUND(J20/21,1)</f>
        <v>14.4</v>
      </c>
      <c r="K21" s="27" t="n">
        <f aca="false">ROUND(K20/21,1)</f>
        <v>15.7</v>
      </c>
      <c r="L21" s="27" t="n">
        <f aca="false">ROUND(L20/21,1)</f>
        <v>16.6</v>
      </c>
      <c r="M21" s="27" t="n">
        <f aca="false">ROUND(M20/21,1)</f>
        <v>17</v>
      </c>
      <c r="N21" s="27" t="n">
        <f aca="false">ROUND(N20/21,1)</f>
        <v>16.6</v>
      </c>
      <c r="O21" s="27" t="n">
        <f aca="false">ROUND(O20/21,1)</f>
        <v>15.7</v>
      </c>
      <c r="P21" s="27" t="n">
        <f aca="false">ROUND(P20/21,1)</f>
        <v>14.4</v>
      </c>
      <c r="Q21" s="27" t="n">
        <f aca="false">ROUND(Q20/21,1)</f>
        <v>12.7</v>
      </c>
      <c r="R21" s="27" t="n">
        <f aca="false">ROUND(R20/21,1)</f>
        <v>9.6</v>
      </c>
      <c r="S21" s="27" t="n">
        <f aca="false">ROUND(S20/21,1)</f>
        <v>6.3</v>
      </c>
      <c r="T21" s="27" t="n">
        <f aca="false">ROUND(T20/21,1)</f>
        <v>3.8</v>
      </c>
      <c r="U21" s="27" t="n">
        <f aca="false">ROUND(U20/21,1)</f>
        <v>2.6</v>
      </c>
    </row>
    <row r="23" customFormat="false" ht="15" hidden="false" customHeight="true" outlineLevel="0" collapsed="false">
      <c r="B23" s="13" t="s">
        <v>810</v>
      </c>
      <c r="E23" s="48" t="n">
        <f aca="false">MAX(F21:U21)</f>
        <v>17</v>
      </c>
    </row>
    <row r="24" customFormat="false" ht="15" hidden="false" customHeight="true" outlineLevel="0" collapsed="false">
      <c r="B24" s="13" t="s">
        <v>1747</v>
      </c>
      <c r="E24" s="48" t="n">
        <f aca="false">ROUND(AVERAGE(F21:U21),1)</f>
        <v>11.1</v>
      </c>
    </row>
    <row r="26" customFormat="false" ht="15" hidden="false" customHeight="true" outlineLevel="0" collapsed="false">
      <c r="B26" s="19" t="s">
        <v>1748</v>
      </c>
      <c r="C26" s="19"/>
      <c r="D26" s="19"/>
      <c r="E26" s="19"/>
      <c r="F26" s="19"/>
      <c r="G26" s="19"/>
      <c r="H26" s="19"/>
      <c r="I26" s="19"/>
      <c r="J26" s="19"/>
      <c r="K26" s="19"/>
      <c r="L26" s="19"/>
    </row>
    <row r="27" customFormat="false" ht="45.75" hidden="false" customHeight="true" outlineLevel="0" collapsed="false">
      <c r="B27" s="98" t="s">
        <v>1749</v>
      </c>
    </row>
  </sheetData>
  <sheetProtection sheet="true"/>
  <mergeCells count="1">
    <mergeCell ref="B26:L26"/>
  </mergeCells>
  <dataValidations count="1">
    <dataValidation allowBlank="true" error="This must be a number of zero or more." errorStyle="stop" errorTitle="Not a number" operator="between" prompt="This must be a number of zero or more." promptTitle="Input cell" showDropDown="false" showErrorMessage="true" showInputMessage="false" sqref="F19:M19" type="decimal">
      <formula1>0</formula1>
      <formula2>1000000000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2026-08-18T05:54:06Z</dcterms:created>
  <dc:creator>openpyxl</dc:creator>
  <dc:description/>
  <dc:language>en-US</dc:language>
  <cp:lastModifiedBy/>
  <dcterms:modified xsi:type="dcterms:W3CDTF">2026-08-19T06:03:31Z</dcterms:modified>
  <cp:revision>22</cp:revision>
  <dc:subject/>
  <dc:title/>
</cp:coreProperties>
</file>

<file path=docProps/custom.xml><?xml version="1.0" encoding="utf-8"?>
<Properties xmlns="http://schemas.openxmlformats.org/officeDocument/2006/custom-properties" xmlns:vt="http://schemas.openxmlformats.org/officeDocument/2006/docPropsVTypes"/>
</file>